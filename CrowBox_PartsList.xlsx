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asteners" sheetId="2" state="visible" r:id="rId4"/>
    <sheet name="Wiring" sheetId="3" state="visible" r:id="rId5"/>
    <sheet name="Glands" sheetId="4" state="visible" r:id="rId6"/>
    <sheet name="Print" sheetId="5" state="visible" r:id="rId7"/>
    <sheet name="Cut" sheetId="6" state="visible" r:id="rId8"/>
    <sheet name="Buy" sheetId="7" state="visible" r:id="rId9"/>
    <sheet name="Tooling" sheetId="8" state="visible" r:id="rId10"/>
    <sheet name="Unmodeled" sheetId="9" state="visible" r:id="rId11"/>
    <sheet name="Doc check" sheetId="10" state="visible" r:id="rId12"/>
    <sheet name="Model fixes" sheetId="11" state="visible" r:id="rId13"/>
  </sheets>
  <definedNames>
    <definedName function="false" hidden="true" localSheetId="6" name="_xlnm._FilterDatabase" vbProcedure="false">Buy!$A$1:$O$109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<sst xmlns="http://schemas.openxmlformats.org/spreadsheetml/2006/main" count="1972" uniqueCount="1283">
  <si>
    <t xml:space="preserve">CrowBox - parts list and cost</t>
  </si>
  <si>
    <t xml:space="preserve">Model v2_3 + new files (Wiring_v2, FieldModules, JunctionBox_v2, Panels_v3). Prices are estimates in USD, Oct 2026.</t>
  </si>
  <si>
    <t xml:space="preserve">How to use</t>
  </si>
  <si>
    <t xml:space="preserve">Type Y in the yellow 'Have?' cells (Buy and Tooling tabs) for anything you already own, e.g. Y next to the MG996R servos. 'Still to buy' updates. Blue numbers are inputs you can change; black are formulas; green pull from another tab.</t>
  </si>
  <si>
    <t xml:space="preserve">Assumptions</t>
  </si>
  <si>
    <t xml:space="preserve">Fastener spare</t>
  </si>
  <si>
    <t xml:space="preserve">added before rounding up to packs</t>
  </si>
  <si>
    <t xml:space="preserve">Cable spare</t>
  </si>
  <si>
    <t xml:space="preserve">on top of route + inside-box + end slack</t>
  </si>
  <si>
    <t xml:space="preserve">Print waste</t>
  </si>
  <si>
    <t xml:space="preserve">failed prints, supports, purge</t>
  </si>
  <si>
    <t xml:space="preserve">Cost by phase</t>
  </si>
  <si>
    <t xml:space="preserve">Phase</t>
  </si>
  <si>
    <t xml:space="preserve">What</t>
  </si>
  <si>
    <t xml:space="preserve">Total $</t>
  </si>
  <si>
    <t xml:space="preserve">Still to buy $</t>
  </si>
  <si>
    <t xml:space="preserve">Build</t>
  </si>
  <si>
    <t xml:space="preserve">Everything to build and run the box now</t>
  </si>
  <si>
    <t xml:space="preserve">Phase 5</t>
  </si>
  <si>
    <t xml:space="preserve">Cellular (Notecard)</t>
  </si>
  <si>
    <t xml:space="preserve">Phase 7</t>
  </si>
  <si>
    <t xml:space="preserve">Coral accelerator</t>
  </si>
  <si>
    <t xml:space="preserve">Phase 9</t>
  </si>
  <si>
    <t xml:space="preserve">Solar: panel, tilt kit, controller, cable</t>
  </si>
  <si>
    <t xml:space="preserve">Paused</t>
  </si>
  <si>
    <t xml:space="preserve">IR beam pairs</t>
  </si>
  <si>
    <t xml:space="preserve">All parts</t>
  </si>
  <si>
    <t xml:space="preserve">Build + later phases + paused</t>
  </si>
  <si>
    <t xml:space="preserve">Tooling (separate)</t>
  </si>
  <si>
    <t xml:space="preserve">see Tooling tab</t>
  </si>
  <si>
    <t xml:space="preserve">Options (not in totals)</t>
  </si>
  <si>
    <t xml:space="preserve">clear polycarbonate front panel</t>
  </si>
  <si>
    <t xml:space="preserve">Option: McMaster brackets</t>
  </si>
  <si>
    <t xml:space="preserve">78 x 5537T935 at ~$5.50 instead of the generic kits</t>
  </si>
  <si>
    <t xml:space="preserve">extra cost over the generic kits</t>
  </si>
  <si>
    <t xml:space="preserve">Build cost by section</t>
  </si>
  <si>
    <t xml:space="preserve">Section</t>
  </si>
  <si>
    <t xml:space="preserve">Frame</t>
  </si>
  <si>
    <t xml:space="preserve">Fasteners</t>
  </si>
  <si>
    <t xml:space="preserve">Wood &amp; sheet</t>
  </si>
  <si>
    <t xml:space="preserve">Cut service</t>
  </si>
  <si>
    <t xml:space="preserve">Junction box</t>
  </si>
  <si>
    <t xml:space="preserve">Vision box</t>
  </si>
  <si>
    <t xml:space="preserve">Field modules</t>
  </si>
  <si>
    <t xml:space="preserve">Power</t>
  </si>
  <si>
    <t xml:space="preserve">Wiring</t>
  </si>
  <si>
    <t xml:space="preserve">Filament</t>
  </si>
  <si>
    <t xml:space="preserve">Install</t>
  </si>
  <si>
    <t xml:space="preserve">Build total (check)</t>
  </si>
  <si>
    <t xml:space="preserve">Key quantities</t>
  </si>
  <si>
    <t xml:space="preserve">2020 extrusion</t>
  </si>
  <si>
    <t xml:space="preserve">bars, from 15 x 1000 mm sticks</t>
  </si>
  <si>
    <t xml:space="preserve">Corner brackets</t>
  </si>
  <si>
    <t xml:space="preserve">70 in model + 8 roof</t>
  </si>
  <si>
    <t xml:space="preserve">M5 T-nuts (plus kit ones)</t>
  </si>
  <si>
    <t xml:space="preserve">plus 2 per bracket in the kits</t>
  </si>
  <si>
    <t xml:space="preserve">M5 screws + bolts</t>
  </si>
  <si>
    <t xml:space="preserve">8 / 10 / 12 / 16 / 20 / 25 / 50 / 75 mm - see Fasteners</t>
  </si>
  <si>
    <t xml:space="preserve">Cable runs</t>
  </si>
  <si>
    <t xml:space="preserve">see Wiring; 13 end at the JB (1 reserved)</t>
  </si>
  <si>
    <t xml:space="preserve">Printed parts</t>
  </si>
  <si>
    <t xml:space="preserve">see Print</t>
  </si>
  <si>
    <t xml:space="preserve">Tabs</t>
  </si>
  <si>
    <t xml:space="preserve">Buy</t>
  </si>
  <si>
    <t xml:space="preserve">everything to purchase, by section, with 'Have?'</t>
  </si>
  <si>
    <t xml:space="preserve">Print</t>
  </si>
  <si>
    <t xml:space="preserve">printed parts, material, settings, grams</t>
  </si>
  <si>
    <t xml:space="preserve">Cut</t>
  </si>
  <si>
    <t xml:space="preserve">SendCutSend parts, wood cut list, 2020 cut list</t>
  </si>
  <si>
    <t xml:space="preserve">every screw by size and where it goes</t>
  </si>
  <si>
    <t xml:space="preserve">19 cable runs: type, conductors, gland, length</t>
  </si>
  <si>
    <t xml:space="preserve">Glands</t>
  </si>
  <si>
    <t xml:space="preserve">which cable goes in which gland hole</t>
  </si>
  <si>
    <t xml:space="preserve">Tooling</t>
  </si>
  <si>
    <t xml:space="preserve">tools, '?' where unsure</t>
  </si>
  <si>
    <t xml:space="preserve">Unmodeled</t>
  </si>
  <si>
    <t xml:space="preserve">what's not in the model and whether it needs to be</t>
  </si>
  <si>
    <t xml:space="preserve">Doc check</t>
  </si>
  <si>
    <t xml:space="preserve">electronics doc vs the model</t>
  </si>
  <si>
    <t xml:space="preserve">Model fixes</t>
  </si>
  <si>
    <t xml:space="preserve">things to fix in Fusion</t>
  </si>
  <si>
    <t xml:space="preserve">Key (size)</t>
  </si>
  <si>
    <t xml:space="preserve">Used on</t>
  </si>
  <si>
    <t xml:space="preserve">Qty</t>
  </si>
  <si>
    <t xml:space="preserve">Goes into</t>
  </si>
  <si>
    <t xml:space="preserve">Why this length (clamped stack -&gt; screw)</t>
  </si>
  <si>
    <t xml:space="preserve">M5x8 BHCS</t>
  </si>
  <si>
    <t xml:space="preserve">Pit light ring -&gt; pit top bars</t>
  </si>
  <si>
    <t xml:space="preserve">M5 T-nut</t>
  </si>
  <si>
    <t xml:space="preserve">ring lip 2.5 + washer 1 = 3.5 -&gt; 8. M5x10 would hit the extrusion core.</t>
  </si>
  <si>
    <t xml:space="preserve">Vision box ears -&gt; reward crossbars (drill ears 4.5 -&gt; 5.5 mm)</t>
  </si>
  <si>
    <t xml:space="preserve">ear 4 -&gt; 8</t>
  </si>
  <si>
    <t xml:space="preserve">M5x10 BHCS</t>
  </si>
  <si>
    <t xml:space="preserve">Bottom plate -&gt; vision crossbar (back row)</t>
  </si>
  <si>
    <t xml:space="preserve">plate 4.75 (0.187in) -&gt; 10</t>
  </si>
  <si>
    <t xml:space="preserve">Bottom plate -&gt; front bar (X -100, -170, +170)</t>
  </si>
  <si>
    <t xml:space="preserve">plate 4.75 -&gt; 10. No shims needed with the 0.187in plate.</t>
  </si>
  <si>
    <t xml:space="preserve">Chute bracket 35 deg -&gt; bars</t>
  </si>
  <si>
    <t xml:space="preserve">5 mm base -&gt; 10. Not M5x12: it bottoms out in the slot.</t>
  </si>
  <si>
    <t xml:space="preserve">Chute -&gt; chute bracket</t>
  </si>
  <si>
    <t xml:space="preserve">M5 hex nut in the bracket's side slots</t>
  </si>
  <si>
    <t xml:space="preserve">M5x12 BHCS</t>
  </si>
  <si>
    <t xml:space="preserve">Side panels -&gt; posts + side bars (16 per side)</t>
  </si>
  <si>
    <t xml:space="preserve">6 mm ply + washer 1 -&gt; 12</t>
  </si>
  <si>
    <t xml:space="preserve">Back panel -&gt; posts + bars</t>
  </si>
  <si>
    <t xml:space="preserve">Roof plywood -&gt; top bars</t>
  </si>
  <si>
    <t xml:space="preserve">Bay floor -&gt; bars</t>
  </si>
  <si>
    <t xml:space="preserve">Battery shelf -&gt; bottom side bars (new holes)</t>
  </si>
  <si>
    <t xml:space="preserve">PIR housing -&gt; bottom plate -&gt; front bar (no washer)</t>
  </si>
  <si>
    <t xml:space="preserve">housing floor 3 + plate 4.75 -&gt; 12</t>
  </si>
  <si>
    <t xml:space="preserve">M5x16 BHCS</t>
  </si>
  <si>
    <t xml:space="preserve">Front panel through 5 mm standoffs (18 holes minus 4 perch)</t>
  </si>
  <si>
    <t xml:space="preserve">6 ply + 5 spacer + washer 1 -&gt; 16</t>
  </si>
  <si>
    <t xml:space="preserve">Solar tilt-kit feet -&gt; roof -&gt; top bars</t>
  </si>
  <si>
    <t xml:space="preserve">3 foot + 6 ply + washer 1 -&gt; 16</t>
  </si>
  <si>
    <t xml:space="preserve">Signal pod -&gt; plate -&gt; front bar (replaces the M5x10 at X +100)</t>
  </si>
  <si>
    <t xml:space="preserve">pod floor 6 + plate 4.75 -&gt; 16</t>
  </si>
  <si>
    <t xml:space="preserve">Junction box top flange -&gt; back panel -&gt; bay back bar</t>
  </si>
  <si>
    <t xml:space="preserve">flange 5 + ply 6 + washer 1 -&gt; 16</t>
  </si>
  <si>
    <t xml:space="preserve">Gate actuator rear mounts -&gt; front posts (?)</t>
  </si>
  <si>
    <t xml:space="preserve">M5 T-nut (5278N43 in model)</t>
  </si>
  <si>
    <t xml:space="preserve">verify against your actuator mount</t>
  </si>
  <si>
    <t xml:space="preserve">M5x20 BHCS</t>
  </si>
  <si>
    <t xml:space="preserve">Junction box bottom flange -&gt; back panel (no bar behind)</t>
  </si>
  <si>
    <t xml:space="preserve">M5 nyloc + washers inside</t>
  </si>
  <si>
    <t xml:space="preserve">flange 5 + ply 6 + 2 washers + nyloc -&gt; 20</t>
  </si>
  <si>
    <t xml:space="preserve">M5x25 flanged BHCS</t>
  </si>
  <si>
    <t xml:space="preserve">Perch brackets -&gt; front panel -&gt; front posts</t>
  </si>
  <si>
    <t xml:space="preserve">bracket 10 + ply 6 + spacer 5 = 21 -&gt; 25. M5x30 bottoms out.</t>
  </si>
  <si>
    <t xml:space="preserve">M5x50 BHCS</t>
  </si>
  <si>
    <t xml:space="preserve">Legs -&gt; side panel -&gt; posts (3 per leg)</t>
  </si>
  <si>
    <t xml:space="preserve">leg 38 + ply 6 + fender washer 1.5 -&gt; 50</t>
  </si>
  <si>
    <t xml:space="preserve">M5x75 hex bolt</t>
  </si>
  <si>
    <t xml:space="preserve">Skirt bolts: leg + side panel + corner cleat</t>
  </si>
  <si>
    <t xml:space="preserve">M5 nyloc</t>
  </si>
  <si>
    <t xml:space="preserve">38 + 6 + 19 + 2 fender washers + nyloc -&gt; 75</t>
  </si>
  <si>
    <t xml:space="preserve">All screws above that go into a slot</t>
  </si>
  <si>
    <t xml:space="preserve">-</t>
  </si>
  <si>
    <t xml:space="preserve">sum of the T-nut rows above (brackets have their own in the kits)</t>
  </si>
  <si>
    <t xml:space="preserve">Pit mechanism mounts (servo mount, solenoid mount) (?)</t>
  </si>
  <si>
    <t xml:space="preserve">estimate: your pit design</t>
  </si>
  <si>
    <t xml:space="preserve">M5 washer</t>
  </si>
  <si>
    <t xml:space="preserve">Under every head on plywood + JB</t>
  </si>
  <si>
    <t xml:space="preserve">side 32, back 20, front 14, roof 15, bay 13, shelf 4, JB 6</t>
  </si>
  <si>
    <t xml:space="preserve">M5 fender washer</t>
  </si>
  <si>
    <t xml:space="preserve">Legs (12) + skirt bolts (2 each)</t>
  </si>
  <si>
    <t xml:space="preserve">5.3 x 20 mm, spreads load on the 2x2</t>
  </si>
  <si>
    <t xml:space="preserve">JB bottom bolts 2 + skirt bolts 4</t>
  </si>
  <si>
    <t xml:space="preserve">M5 hex nut</t>
  </si>
  <si>
    <t xml:space="preserve">fits the bracket's side-entry slots</t>
  </si>
  <si>
    <t xml:space="preserve">M5 spacer 5mm</t>
  </si>
  <si>
    <t xml:space="preserve">Front panel standoffs</t>
  </si>
  <si>
    <t xml:space="preserve">unthreaded, 5 mm long, ~10 mm OD</t>
  </si>
  <si>
    <t xml:space="preserve">M4x16 BHCS</t>
  </si>
  <si>
    <t xml:space="preserve">Reward load cell fixed end (through plate + 5 mm spacer)</t>
  </si>
  <si>
    <t xml:space="preserve">load cell M4 thread</t>
  </si>
  <si>
    <t xml:space="preserve">plate 4.75 + spacer 5 -&gt; 16 (6 mm thread engagement)</t>
  </si>
  <si>
    <t xml:space="preserve">Solar charge controller -&gt; battery shelf</t>
  </si>
  <si>
    <t xml:space="preserve">M4 nyloc</t>
  </si>
  <si>
    <t xml:space="preserve">controller tab + 6 ply + washers + nut</t>
  </si>
  <si>
    <t xml:space="preserve">M4x20 BHCS</t>
  </si>
  <si>
    <t xml:space="preserve">Reward tray -&gt; load cell (through 11 mm spacers)</t>
  </si>
  <si>
    <t xml:space="preserve">tray 2 + spacer 11 -&gt; 20 (7 mm engagement)</t>
  </si>
  <si>
    <t xml:space="preserve">Hopper cradles -&gt; bay floor (2 per cradle)</t>
  </si>
  <si>
    <t xml:space="preserve">foot 5 + ply 6 + 2 washers + nyloc -&gt; 20</t>
  </si>
  <si>
    <t xml:space="preserve">Cradles 6 + controller 2</t>
  </si>
  <si>
    <t xml:space="preserve">M4 washer</t>
  </si>
  <si>
    <t xml:space="preserve">Load cell 4 + cradles 12 + controller 4</t>
  </si>
  <si>
    <t xml:space="preserve">Spacer M4x11</t>
  </si>
  <si>
    <t xml:space="preserve">Tray -&gt; load cell (McMaster 92871A311)</t>
  </si>
  <si>
    <t xml:space="preserve">as modeled</t>
  </si>
  <si>
    <t xml:space="preserve">Spacer M4x5</t>
  </si>
  <si>
    <t xml:space="preserve">Load cell fixed end (McMaster 92871A008)</t>
  </si>
  <si>
    <t xml:space="preserve">#8x2-1/2 wood</t>
  </si>
  <si>
    <t xml:space="preserve">Ground aprons + raised front apron -&gt; legs (2 per joint)</t>
  </si>
  <si>
    <t xml:space="preserve">2x2</t>
  </si>
  <si>
    <t xml:space="preserve">exterior coated; pre-drill</t>
  </si>
  <si>
    <t xml:space="preserve">#8x1-1/4 wood</t>
  </si>
  <si>
    <t xml:space="preserve">1x2 diagonals -&gt; legs/aprons (2 per end)</t>
  </si>
  <si>
    <t xml:space="preserve">#6x5/8 wood</t>
  </si>
  <si>
    <t xml:space="preserve">Skirt corner cleats (2 per panel per cleat)</t>
  </si>
  <si>
    <t xml:space="preserve">3/4in cleat</t>
  </si>
  <si>
    <t xml:space="preserve">#6x3/4 wood</t>
  </si>
  <si>
    <t xml:space="preserve">Perch rod lock screws</t>
  </si>
  <si>
    <t xml:space="preserve">1-1/4in dowel</t>
  </si>
  <si>
    <t xml:space="preserve">through the printed arm into the rod</t>
  </si>
  <si>
    <t xml:space="preserve">Brackets: each of the 78 corner brackets also uses 2 x M5x10 (or M5x8 for &lt;=3.5 mm brackets) + 2 T-nuts, included in the bracket kits on the Buy tab.</t>
  </si>
  <si>
    <t xml:space="preserve">Length rule for 2020 drop-in T-nuts: screw length = clamped thickness + 4 to 6 mm. Longer screws hit the extrusion core before they clamp.</t>
  </si>
  <si>
    <t xml:space="preserve">ID</t>
  </si>
  <si>
    <t xml:space="preserve">Run</t>
  </si>
  <si>
    <t xml:space="preserve">From</t>
  </si>
  <si>
    <t xml:space="preserve">To</t>
  </si>
  <si>
    <t xml:space="preserve">Buy as</t>
  </si>
  <si>
    <t xml:space="preserve">Type key</t>
  </si>
  <si>
    <t xml:space="preserve">Cond.</t>
  </si>
  <si>
    <t xml:space="preserve">AWG</t>
  </si>
  <si>
    <t xml:space="preserve">OD mm</t>
  </si>
  <si>
    <t xml:space="preserve">Gland / hole</t>
  </si>
  <si>
    <t xml:space="preserve">Route in model (mm)</t>
  </si>
  <si>
    <t xml:space="preserve">Inside box (mm)</t>
  </si>
  <si>
    <t xml:space="preserve">End slack (mm)</t>
  </si>
  <si>
    <t xml:space="preserve">Buy length (m)</t>
  </si>
  <si>
    <t xml:space="preserve">Conductor map</t>
  </si>
  <si>
    <t xml:space="preserve">Notes</t>
  </si>
  <si>
    <t xml:space="preserve">W01</t>
  </si>
  <si>
    <t xml:space="preserve">Doser servo 1</t>
  </si>
  <si>
    <t xml:space="preserve">MG996R on cradle 1</t>
  </si>
  <si>
    <t xml:space="preserve">JB G1 (upper-right hole)</t>
  </si>
  <si>
    <t xml:space="preserve">3-core 22 AWG round</t>
  </si>
  <si>
    <t xml:space="preserve">3C22</t>
  </si>
  <si>
    <t xml:space="preserve">G1-UR</t>
  </si>
  <si>
    <t xml:space="preserve">Black/brown GND -&gt; GND bus; red +6 V servo rail; white/orange PWM -&gt; ESP32 GPIO</t>
  </si>
  <si>
    <t xml:space="preserve">Servo plug mates with a 3-pin 2.54 mm male header soldered to the cable end; heat-shrink + zip tie. Down through the left bay-floor hole.</t>
  </si>
  <si>
    <t xml:space="preserve">W02</t>
  </si>
  <si>
    <t xml:space="preserve">Doser servo 2</t>
  </si>
  <si>
    <t xml:space="preserve">MG996R on cradle 2</t>
  </si>
  <si>
    <t xml:space="preserve">JB G1 (lower-right)</t>
  </si>
  <si>
    <t xml:space="preserve">G1-LR</t>
  </si>
  <si>
    <t xml:space="preserve">as W01</t>
  </si>
  <si>
    <t xml:space="preserve">Left bay-floor hole.</t>
  </si>
  <si>
    <t xml:space="preserve">W03</t>
  </si>
  <si>
    <t xml:space="preserve">Doser servo 3</t>
  </si>
  <si>
    <t xml:space="preserve">MG996R on cradle 3</t>
  </si>
  <si>
    <t xml:space="preserve">JB G3 (upper-left)</t>
  </si>
  <si>
    <t xml:space="preserve">G3-UL</t>
  </si>
  <si>
    <t xml:space="preserve">Right bay-floor hole.</t>
  </si>
  <si>
    <t xml:space="preserve">W04</t>
  </si>
  <si>
    <t xml:space="preserve">IR beam pairs x3 (PAUSED)</t>
  </si>
  <si>
    <t xml:space="preserve">Bay floor, behind cradle 2</t>
  </si>
  <si>
    <t xml:space="preserve">JB G1 (upper-left)</t>
  </si>
  <si>
    <t xml:space="preserve">6-core 24 AWG round</t>
  </si>
  <si>
    <t xml:space="preserve">6C24</t>
  </si>
  <si>
    <t xml:space="preserve">G1-UL</t>
  </si>
  <si>
    <t xml:space="preserve">+5 V, GND, OUT1, OUT2, OUT3 -&gt; MCP23017 inputs, 1 spare</t>
  </si>
  <si>
    <t xml:space="preserve">Paused: buy later. One shared cable instead of 3. 600 mm end slack = branches to the 3 hoppers. Plug the gland hole until then.</t>
  </si>
  <si>
    <t xml:space="preserve">W05</t>
  </si>
  <si>
    <t xml:space="preserve">Gate actuator L</t>
  </si>
  <si>
    <t xml:space="preserve">Actuator L (bottom end)</t>
  </si>
  <si>
    <t xml:space="preserve">JB G1 (lower-left)</t>
  </si>
  <si>
    <t xml:space="preserve">2-core 20 AWG round</t>
  </si>
  <si>
    <t xml:space="preserve">2C20</t>
  </si>
  <si>
    <t xml:space="preserve">G1-LL</t>
  </si>
  <si>
    <t xml:space="preserve">Red/black -&gt; L298N OUT1/OUT2</t>
  </si>
  <si>
    <t xml:space="preserve">Butt-splice to the actuator leads with adhesive heat-shrink.</t>
  </si>
  <si>
    <t xml:space="preserve">W06</t>
  </si>
  <si>
    <t xml:space="preserve">Gate actuator R</t>
  </si>
  <si>
    <t xml:space="preserve">Actuator R (bottom end)</t>
  </si>
  <si>
    <t xml:space="preserve">JB G3 (lower-right)</t>
  </si>
  <si>
    <t xml:space="preserve">G3-LR</t>
  </si>
  <si>
    <t xml:space="preserve">Red/black -&gt; L298N OUT3/OUT4</t>
  </si>
  <si>
    <t xml:space="preserve">as W05</t>
  </si>
  <si>
    <t xml:space="preserve">W07</t>
  </si>
  <si>
    <t xml:space="preserve">Signal pod (3 LEDs + buzzer)</t>
  </si>
  <si>
    <t xml:space="preserve">Signal pod behind PIR slot</t>
  </si>
  <si>
    <t xml:space="preserve">JB G3 (lower-left)</t>
  </si>
  <si>
    <t xml:space="preserve">G3-LL</t>
  </si>
  <si>
    <t xml:space="preserve">LED green, LED red, LED blue (330 ohm each, resistors in the JB) -&gt; MCP23017; BUZ -&gt; ESP32 PWM pin; +5 V; GND</t>
  </si>
  <si>
    <t xml:space="preserve">Drops down the gap behind the front panel, runs back under the front bar at Z 248.</t>
  </si>
  <si>
    <t xml:space="preserve">W08</t>
  </si>
  <si>
    <t xml:space="preserve">Vision box link</t>
  </si>
  <si>
    <t xml:space="preserve">Vision box (PG9, back wall)</t>
  </si>
  <si>
    <t xml:space="preserve">JB G4</t>
  </si>
  <si>
    <t xml:space="preserve">Cat6 stranded patch cable (8 x 24 AWG)</t>
  </si>
  <si>
    <t xml:space="preserve">CAT6</t>
  </si>
  <si>
    <t xml:space="preserve">G4</t>
  </si>
  <si>
    <t xml:space="preserve">Orange +12 V; wht/org GND; green ESP32 TX -&gt; Pi RX; wht/grn Pi TX -&gt; ESP32 RX; blue PIR out; wht/blu GND; brown HX711 SCK; wht/brn HX711 DOUT</t>
  </si>
  <si>
    <t xml:space="preserve">12 V (not 5 V) goes over the cable; a mini buck in the vision box makes 5 V for Pi/Coral/PIR. Reward HX711 runs off the Pi's 3.3 V. Coral power switching stays on the Pi side, so 8 conductors are enough. Cut both RJ45 plugs off.</t>
  </si>
  <si>
    <t xml:space="preserve">W09</t>
  </si>
  <si>
    <t xml:space="preserve">Trapdoor servo</t>
  </si>
  <si>
    <t xml:space="preserve">MG996R in pit servo mount</t>
  </si>
  <si>
    <t xml:space="preserve">JB G2 (lower-left)</t>
  </si>
  <si>
    <t xml:space="preserve">G2-LL</t>
  </si>
  <si>
    <t xml:space="preserve">Up the back-left corner through the battery-shelf notch.</t>
  </si>
  <si>
    <t xml:space="preserve">W10</t>
  </si>
  <si>
    <t xml:space="preserve">Pit load cell</t>
  </si>
  <si>
    <t xml:space="preserve">Pit load cell (on the trapdoor)</t>
  </si>
  <si>
    <t xml:space="preserve">HX711 #2 in JB, G2 (upper-left)</t>
  </si>
  <si>
    <t xml:space="preserve">4-core 24 AWG shielded (foil + drain)</t>
  </si>
  <si>
    <t xml:space="preserve">4C24S</t>
  </si>
  <si>
    <t xml:space="preserve">G2-UL</t>
  </si>
  <si>
    <t xml:space="preserve">Red E+, black E-, green A+, white A- (match the cell's colors); drain -&gt; HX711 GND at the JB end only</t>
  </si>
  <si>
    <t xml:space="preserve">Leave a 10 cm service loop where it leaves the moving trapdoor (included in the 250 mm end slack). Shielded because it runs next to the solenoid and servo leads.</t>
  </si>
  <si>
    <t xml:space="preserve">W11</t>
  </si>
  <si>
    <t xml:space="preserve">Trapdoor solenoid</t>
  </si>
  <si>
    <t xml:space="preserve">Solenoid (+X end)</t>
  </si>
  <si>
    <t xml:space="preserve">JB G2 (lower-right)</t>
  </si>
  <si>
    <t xml:space="preserve">G2-LR</t>
  </si>
  <si>
    <t xml:space="preserve">Red +12 V; black -&gt; MOSFET module OUT-</t>
  </si>
  <si>
    <t xml:space="preserve">1N4007 across the coil (band to +), at the solenoid.</t>
  </si>
  <si>
    <t xml:space="preserve">W12</t>
  </si>
  <si>
    <t xml:space="preserve">Pit light ring</t>
  </si>
  <si>
    <t xml:space="preserve">COB strip on the light ring (through lining hole)</t>
  </si>
  <si>
    <t xml:space="preserve">JB G2 (upper-right)</t>
  </si>
  <si>
    <t xml:space="preserve">G2-UR</t>
  </si>
  <si>
    <t xml:space="preserve">12 V COB strip, ~45 cm.</t>
  </si>
  <si>
    <t xml:space="preserve">W13</t>
  </si>
  <si>
    <t xml:space="preserve">12 V power in</t>
  </si>
  <si>
    <t xml:space="preserve">Solar controller LOAD (or fuse 1 until Phase 9)</t>
  </si>
  <si>
    <t xml:space="preserve">JB G5 -&gt; main switch -&gt; fuse 2 -&gt; WAGO</t>
  </si>
  <si>
    <t xml:space="preserve">2-core 16 AWG round</t>
  </si>
  <si>
    <t xml:space="preserve">2C16</t>
  </si>
  <si>
    <t xml:space="preserve">G5</t>
  </si>
  <si>
    <t xml:space="preserve">+12 V / GND</t>
  </si>
  <si>
    <t xml:space="preserve">PG9 takes 4-8 mm cable: pick a 16/2 with OD &lt;= 7.5 mm.</t>
  </si>
  <si>
    <t xml:space="preserve">W14</t>
  </si>
  <si>
    <t xml:space="preserve">Solar (Phase 9)</t>
  </si>
  <si>
    <t xml:space="preserve">Panel leads under the panel (MC4s cut off)</t>
  </si>
  <si>
    <t xml:space="preserve">Charge controller PV terminals</t>
  </si>
  <si>
    <t xml:space="preserve">2-core 18 AWG UV-rated outdoor</t>
  </si>
  <si>
    <t xml:space="preserve">2C18UV</t>
  </si>
  <si>
    <t xml:space="preserve">Roof PG7</t>
  </si>
  <si>
    <t xml:space="preserve">PV+ / PV-</t>
  </si>
  <si>
    <t xml:space="preserve">Splice to the panel's own leads under the panel with adhesive heat-shrink. Down the back-right corner through the right bay-floor hole.</t>
  </si>
  <si>
    <t xml:space="preserve">W15</t>
  </si>
  <si>
    <t xml:space="preserve">Battery + to fuse 1</t>
  </si>
  <si>
    <t xml:space="preserve">Battery + (F2 spade)</t>
  </si>
  <si>
    <t xml:space="preserve">Fuse 1 holder (7.5 A)</t>
  </si>
  <si>
    <t xml:space="preserve">16 AWG red</t>
  </si>
  <si>
    <t xml:space="preserve">16AWG</t>
  </si>
  <si>
    <t xml:space="preserve">+</t>
  </si>
  <si>
    <t xml:space="preserve">Fuse holder leads usually cover this.</t>
  </si>
  <si>
    <t xml:space="preserve">W15b</t>
  </si>
  <si>
    <t xml:space="preserve">Fuse 1 to controller BAT+</t>
  </si>
  <si>
    <t xml:space="preserve">Fuse 1 holder</t>
  </si>
  <si>
    <t xml:space="preserve">Controller BAT+</t>
  </si>
  <si>
    <t xml:space="preserve">Until Phase 9: fuse 1 feeds W13 directly.</t>
  </si>
  <si>
    <t xml:space="preserve">W16</t>
  </si>
  <si>
    <t xml:space="preserve">Battery - to controller BAT-</t>
  </si>
  <si>
    <t xml:space="preserve">Battery - (F2 spade)</t>
  </si>
  <si>
    <t xml:space="preserve">Controller BAT-</t>
  </si>
  <si>
    <t xml:space="preserve">16 AWG black</t>
  </si>
  <si>
    <t xml:space="preserve">W17</t>
  </si>
  <si>
    <t xml:space="preserve">PIR</t>
  </si>
  <si>
    <t xml:space="preserve">AM312 header (back of PIR housing)</t>
  </si>
  <si>
    <t xml:space="preserve">Vision box PG7 #1 (front)</t>
  </si>
  <si>
    <t xml:space="preserve">VB PG7-1</t>
  </si>
  <si>
    <t xml:space="preserve">VCC (+5 V from vision-box buck), GND, OUT</t>
  </si>
  <si>
    <t xml:space="preserve">Through the bottom plate's 8 mm hole at (0, -80). Dupont 3-pin housing at the PIR.</t>
  </si>
  <si>
    <t xml:space="preserve">W18</t>
  </si>
  <si>
    <t xml:space="preserve">Reward load cell</t>
  </si>
  <si>
    <t xml:space="preserve">Load cell fixed end</t>
  </si>
  <si>
    <t xml:space="preserve">HX711 #1 in vision box, PG7 #2 (front)</t>
  </si>
  <si>
    <t xml:space="preserve">cell's own 4 leads in heat-shrink</t>
  </si>
  <si>
    <t xml:space="preserve">STOCK</t>
  </si>
  <si>
    <t xml:space="preserve">VB PG7-2</t>
  </si>
  <si>
    <t xml:space="preserve">Red E+, black E-, green A+, white A-</t>
  </si>
  <si>
    <t xml:space="preserve">Stock leads (~20 cm) just reach; extend with 4-core shielded leftovers if short. Through the plate's 8 mm hole at (-75, -60).</t>
  </si>
  <si>
    <t xml:space="preserve">Buy length = (route + inside-box run + end slack) x (1 + cable spare on Summary), rounded up to 0.1 m. Route lengths are measured along the modeled tubes in CrowBox_Wiring_v2.step.</t>
  </si>
  <si>
    <t xml:space="preserve">Totals by cable type</t>
  </si>
  <si>
    <t xml:space="preserve">Total (m)</t>
  </si>
  <si>
    <t xml:space="preserve">4-core 24 AWG shielded</t>
  </si>
  <si>
    <t xml:space="preserve">Cat6 stranded patch</t>
  </si>
  <si>
    <t xml:space="preserve">2-core 18 AWG UV (solar)</t>
  </si>
  <si>
    <t xml:space="preserve">16 AWG red/black</t>
  </si>
  <si>
    <t xml:space="preserve">6C24 (W04)</t>
  </si>
  <si>
    <t xml:space="preserve">6-core for the paused IR run</t>
  </si>
  <si>
    <t xml:space="preserve">Where</t>
  </si>
  <si>
    <t xml:space="preserve">Gland</t>
  </si>
  <si>
    <t xml:space="preserve">Hole / insert position</t>
  </si>
  <si>
    <t xml:space="preserve">Cable</t>
  </si>
  <si>
    <t xml:space="preserve">Position (model, mm)</t>
  </si>
  <si>
    <t xml:space="preserve">Drill</t>
  </si>
  <si>
    <t xml:space="preserve">Junction box back face</t>
  </si>
  <si>
    <t xml:space="preserve">G1  PG16, 4-hole insert (4 x 5 mm)</t>
  </si>
  <si>
    <t xml:space="preserve">upper-left</t>
  </si>
  <si>
    <t xml:space="preserve">W04 IR beams (PAUSED - plug it)</t>
  </si>
  <si>
    <t xml:space="preserve">X -41, Z 360</t>
  </si>
  <si>
    <t xml:space="preserve">22.5-23 mm</t>
  </si>
  <si>
    <t xml:space="preserve">All JB glands sit in one low row so the mounting plate keeps the top 2/3 of the box.</t>
  </si>
  <si>
    <t xml:space="preserve">upper-right</t>
  </si>
  <si>
    <t xml:space="preserve">W01 doser servo 1</t>
  </si>
  <si>
    <t xml:space="preserve">lower-left</t>
  </si>
  <si>
    <t xml:space="preserve">W05 gate actuator L</t>
  </si>
  <si>
    <t xml:space="preserve">lower-right</t>
  </si>
  <si>
    <t xml:space="preserve">W02 doser servo 2</t>
  </si>
  <si>
    <t xml:space="preserve">G2  PG16, 4-hole insert (4 x 5 mm)</t>
  </si>
  <si>
    <t xml:space="preserve">W10 pit load cell (shielded)</t>
  </si>
  <si>
    <t xml:space="preserve">X -5, Z 360</t>
  </si>
  <si>
    <t xml:space="preserve">W12 pit light ring</t>
  </si>
  <si>
    <t xml:space="preserve">W09 trapdoor servo</t>
  </si>
  <si>
    <t xml:space="preserve">W11 solenoid</t>
  </si>
  <si>
    <t xml:space="preserve">G3  PG16, 4-hole insert (4 x 5 mm)</t>
  </si>
  <si>
    <t xml:space="preserve">W03 doser servo 3</t>
  </si>
  <si>
    <t xml:space="preserve">X 31, Z 360</t>
  </si>
  <si>
    <t xml:space="preserve">spare (plug it)</t>
  </si>
  <si>
    <t xml:space="preserve">W07 signal pod</t>
  </si>
  <si>
    <t xml:space="preserve">W06 gate actuator R</t>
  </si>
  <si>
    <t xml:space="preserve">G4  PG9 (4-8 mm)</t>
  </si>
  <si>
    <t xml:space="preserve">single</t>
  </si>
  <si>
    <t xml:space="preserve">W08 vision box Cat6</t>
  </si>
  <si>
    <t xml:space="preserve">X -23, Z 395</t>
  </si>
  <si>
    <t xml:space="preserve">15.5 mm</t>
  </si>
  <si>
    <t xml:space="preserve">G5  PG9 (4-8 mm)</t>
  </si>
  <si>
    <t xml:space="preserve">W13 12 V power in</t>
  </si>
  <si>
    <t xml:space="preserve">X 13, Z 395</t>
  </si>
  <si>
    <t xml:space="preserve">16/2 cable must be &lt;= 7.5 mm OD.</t>
  </si>
  <si>
    <t xml:space="preserve">Back panel</t>
  </si>
  <si>
    <t xml:space="preserve">gland window 106 x 65, r6 corners</t>
  </si>
  <si>
    <t xml:space="preserve">all of the above</t>
  </si>
  <si>
    <t xml:space="preserve">X -58..48, Z 343..408</t>
  </si>
  <si>
    <t xml:space="preserve">jigsaw</t>
  </si>
  <si>
    <t xml:space="preserve">Replaces the four separate 34/26 mm holes (they would leave 2 mm webs). Run a bead of neutral-cure silicone around the JB back face.</t>
  </si>
  <si>
    <t xml:space="preserve">Vision box front wall</t>
  </si>
  <si>
    <t xml:space="preserve">PG7 #1</t>
  </si>
  <si>
    <t xml:space="preserve">W17 PIR</t>
  </si>
  <si>
    <t xml:space="preserve">X +12, Z 262</t>
  </si>
  <si>
    <t xml:space="preserve">12.5-13 mm</t>
  </si>
  <si>
    <t xml:space="preserve">Drill the base walls, never the lid.</t>
  </si>
  <si>
    <t xml:space="preserve">PG7 #2</t>
  </si>
  <si>
    <t xml:space="preserve">W18 reward load cell leads</t>
  </si>
  <si>
    <t xml:space="preserve">X -12, Z 262</t>
  </si>
  <si>
    <t xml:space="preserve">4 thin leads: slide a heat-shrink sleeve over them so the seal grips.</t>
  </si>
  <si>
    <t xml:space="preserve">Vision box back wall</t>
  </si>
  <si>
    <t xml:space="preserve">PG9</t>
  </si>
  <si>
    <t xml:space="preserve">W08 Cat6</t>
  </si>
  <si>
    <t xml:space="preserve">X -25, Z 258</t>
  </si>
  <si>
    <t xml:space="preserve">Roof</t>
  </si>
  <si>
    <t xml:space="preserve">PG7 (already modeled)</t>
  </si>
  <si>
    <t xml:space="preserve">W14 solar</t>
  </si>
  <si>
    <t xml:space="preserve">X 205, Y 250</t>
  </si>
  <si>
    <t xml:space="preserve">Phase 9.</t>
  </si>
  <si>
    <t xml:space="preserve">Bay floor, back-left</t>
  </si>
  <si>
    <t xml:space="preserve">16 mm hole (no grommet)</t>
  </si>
  <si>
    <t xml:space="preserve">W01, W02, W04</t>
  </si>
  <si>
    <t xml:space="preserve">X -208, Y 250</t>
  </si>
  <si>
    <t xml:space="preserve">16 mm</t>
  </si>
  <si>
    <t xml:space="preserve">Rubber grommets don't fit 6 mm ply; sand the edge and wrap the cables with split loom at the hole.</t>
  </si>
  <si>
    <t xml:space="preserve">Bay floor, back-right</t>
  </si>
  <si>
    <t xml:space="preserve">W03, W14</t>
  </si>
  <si>
    <t xml:space="preserve">X 208, Y 250</t>
  </si>
  <si>
    <t xml:space="preserve">Bottom plate</t>
  </si>
  <si>
    <t xml:space="preserve">8 mm holes (already modeled)</t>
  </si>
  <si>
    <t xml:space="preserve">W17 at (0,-80), W18 at (-75,-60)</t>
  </si>
  <si>
    <t xml:space="preserve">8 mm</t>
  </si>
  <si>
    <t xml:space="preserve">Deburr; heat-shrink sleeve on the cable where it passes.</t>
  </si>
  <si>
    <t xml:space="preserve">Battery shelf notches</t>
  </si>
  <si>
    <t xml:space="preserve">back-left / back-right</t>
  </si>
  <si>
    <t xml:space="preserve">left: W09, W10   right: W11, W12</t>
  </si>
  <si>
    <t xml:space="preserve">Pit cables go under the shelf and rise through the corner notches.</t>
  </si>
  <si>
    <t xml:space="preserve">Multi-hole inserts seal 4.5-5.5 mm cable. Build up thinner cable (the 4.2 mm servo cable) with one layer of heat-shrink where it passes the seal. Plug unused holes with a 5 mm rod or a short M5 screw.</t>
  </si>
  <si>
    <t xml:space="preserve">Part</t>
  </si>
  <si>
    <t xml:space="preserve">Source</t>
  </si>
  <si>
    <t xml:space="preserve">Material</t>
  </si>
  <si>
    <t xml:space="preserve">Color</t>
  </si>
  <si>
    <t xml:space="preserve">Solid vol each (cm3)</t>
  </si>
  <si>
    <t xml:space="preserve">Density (g/cm3)</t>
  </si>
  <si>
    <t xml:space="preserve">Fill factor</t>
  </si>
  <si>
    <t xml:space="preserve">Grams (all)</t>
  </si>
  <si>
    <t xml:space="preserve">Size (mm)</t>
  </si>
  <si>
    <t xml:space="preserve">How to print</t>
  </si>
  <si>
    <t xml:space="preserve">Status</t>
  </si>
  <si>
    <t xml:space="preserve">Signal pod (LEDs + buzzer)</t>
  </si>
  <si>
    <t xml:space="preserve">CrowBox_SignalPod_print.step (new)</t>
  </si>
  <si>
    <t xml:space="preserve">ASA</t>
  </si>
  <si>
    <t xml:space="preserve">black</t>
  </si>
  <si>
    <t xml:space="preserve">58 x 53 x 22</t>
  </si>
  <si>
    <t xml:space="preserve">Stand it on the nose tip (front face down): LED bores vertical, no supports. 3 walls, 30%.</t>
  </si>
  <si>
    <t xml:space="preserve">Modeled (new)</t>
  </si>
  <si>
    <t xml:space="preserve">Nose sits in the PIR slot, so it gets sun: ASA.</t>
  </si>
  <si>
    <t xml:space="preserve">Perch bracket L</t>
  </si>
  <si>
    <t xml:space="preserve">CrowBox_Perch_D.step</t>
  </si>
  <si>
    <t xml:space="preserve">any</t>
  </si>
  <si>
    <t xml:space="preserve">46 x 139 x 165</t>
  </si>
  <si>
    <t xml:space="preserve">On its outer side face so the rod holes print vertical. 4 walls, 30% gyroid.</t>
  </si>
  <si>
    <t xml:space="preserve">Modeled</t>
  </si>
  <si>
    <t xml:space="preserve">Outside, in the sun, carries the crow: ASA.</t>
  </si>
  <si>
    <t xml:space="preserve">Perch bracket R</t>
  </si>
  <si>
    <t xml:space="preserve">as L</t>
  </si>
  <si>
    <t xml:space="preserve">Chute bracket 35 deg</t>
  </si>
  <si>
    <t xml:space="preserve">CrowBox_ChuteBracket_35deg.step</t>
  </si>
  <si>
    <t xml:space="preserve">PETG</t>
  </si>
  <si>
    <t xml:space="preserve">100 x 160 x 116</t>
  </si>
  <si>
    <t xml:space="preserve">Base down. 3 walls, 25%.</t>
  </si>
  <si>
    <t xml:space="preserve">Inside the box: PETG is fine.</t>
  </si>
  <si>
    <t xml:space="preserve">CrowBox_PitLining_LightRing.step</t>
  </si>
  <si>
    <t xml:space="preserve">white</t>
  </si>
  <si>
    <t xml:space="preserve">180 x 180 x 18.5</t>
  </si>
  <si>
    <t xml:space="preserve">Lip down. 3 walls, 20%.</t>
  </si>
  <si>
    <t xml:space="preserve">White reflects the strip's light into the pit.</t>
  </si>
  <si>
    <t xml:space="preserve">PIR housing v2</t>
  </si>
  <si>
    <t xml:space="preserve">CrowBox_PIR_Housing_v2.step (your part)</t>
  </si>
  <si>
    <t xml:space="preserve">91 x 30 x 25</t>
  </si>
  <si>
    <t xml:space="preserve">Floor down.</t>
  </si>
  <si>
    <t xml:space="preserve">Lower it 0.8 mm in the model (it floats above the plate).</t>
  </si>
  <si>
    <t xml:space="preserve">Hopper cradle</t>
  </si>
  <si>
    <t xml:space="preserve">your Cradle part</t>
  </si>
  <si>
    <t xml:space="preserve">93 x 68 x 100</t>
  </si>
  <si>
    <t xml:space="preserve">Foot down.</t>
  </si>
  <si>
    <t xml:space="preserve">Servo holes are 2.5 mm: use the MG996R's own screws.</t>
  </si>
  <si>
    <t xml:space="preserve">Doser rotor (60 mm notched)</t>
  </si>
  <si>
    <t xml:space="preserve">rotor_60mm.step (earlier draft)</t>
  </si>
  <si>
    <t xml:space="preserve">60 x 60 x 38</t>
  </si>
  <si>
    <t xml:space="preserve">Servo face down. 4 walls, 40%.</t>
  </si>
  <si>
    <t xml:space="preserve">NOT in the assembly</t>
  </si>
  <si>
    <t xml:space="preserve">Re-check against the MG996R shaft position (Z ~612) before printing.</t>
  </si>
  <si>
    <t xml:space="preserve">Pit servo mount</t>
  </si>
  <si>
    <t xml:space="preserve">your servo_mount part</t>
  </si>
  <si>
    <t xml:space="preserve">74 x 49 x 36</t>
  </si>
  <si>
    <t xml:space="preserve">Solenoid mount</t>
  </si>
  <si>
    <t xml:space="preserve">your solenoid_mount part</t>
  </si>
  <si>
    <t xml:space="preserve">54 x 44 x 22</t>
  </si>
  <si>
    <t xml:space="preserve">Trapdoor frame (?)</t>
  </si>
  <si>
    <t xml:space="preserve">your Trapdoor part</t>
  </si>
  <si>
    <t xml:space="preserve">218 x 148 x 30</t>
  </si>
  <si>
    <t xml:space="preserve">Needs a 220+ mm bed.</t>
  </si>
  <si>
    <t xml:space="preserve">Print or cut? - your call.</t>
  </si>
  <si>
    <t xml:space="preserve">Trapdoor top plate (?)</t>
  </si>
  <si>
    <t xml:space="preserve">your top_door part</t>
  </si>
  <si>
    <t xml:space="preserve">148 x 148 x 8</t>
  </si>
  <si>
    <t xml:space="preserve">Could be 6 mm ply or acrylic instead.</t>
  </si>
  <si>
    <t xml:space="preserve">Chute (?)</t>
  </si>
  <si>
    <t xml:space="preserve">your Chute_new part</t>
  </si>
  <si>
    <t xml:space="preserve">105 x 372 x 204</t>
  </si>
  <si>
    <t xml:space="preserve">Too long for most beds (~424 mm along the slope).</t>
  </si>
  <si>
    <t xml:space="preserve">Split in 2 halves, or bend it from 0.040in 5052 at SendCutSend.</t>
  </si>
  <si>
    <t xml:space="preserve">Filament totals</t>
  </si>
  <si>
    <t xml:space="preserve">grams:</t>
  </si>
  <si>
    <t xml:space="preserve">1 kg spools:</t>
  </si>
  <si>
    <t xml:space="preserve">Grams = qty x solid volume x density x fill factor (fill factor ~0.5-0.6 for chunky parts at 3-4 walls / 25-40% infill, ~0.85-0.95 for thin-walled parts) x (1 + print-waste allowance on Summary). No PLA: it creeps in summer sun.</t>
  </si>
  <si>
    <t xml:space="preserve">Material / stock</t>
  </si>
  <si>
    <t xml:space="preserve">Thickness</t>
  </si>
  <si>
    <t xml:space="preserve">Finished size (mm)</t>
  </si>
  <si>
    <t xml:space="preserve">Process</t>
  </si>
  <si>
    <t xml:space="preserve">Source file</t>
  </si>
  <si>
    <t xml:space="preserve">A. SendCutSend (order these cut) - cost is on the Buy tab</t>
  </si>
  <si>
    <t xml:space="preserve">Reward tray</t>
  </si>
  <si>
    <t xml:space="preserve">5052-H32 aluminum</t>
  </si>
  <si>
    <t xml:space="preserve">0.080" (2.03 mm)</t>
  </si>
  <si>
    <t xml:space="preserve">376 x 79 x 50 (bent)</t>
  </si>
  <si>
    <t xml:space="preserve">laser + 3 bends</t>
  </si>
  <si>
    <t xml:space="preserve">CrowBox_RewardTray_5052_0p080_v2.step</t>
  </si>
  <si>
    <t xml:space="preserve">As modeled.</t>
  </si>
  <si>
    <t xml:space="preserve">Reward bottom plate</t>
  </si>
  <si>
    <t xml:space="preserve">0.187" (4.75 mm)</t>
  </si>
  <si>
    <t xml:space="preserve">450 x 95</t>
  </si>
  <si>
    <t xml:space="preserve">laser</t>
  </si>
  <si>
    <t xml:space="preserve">CrowBox_RewardBottomPlate_v3.step</t>
  </si>
  <si>
    <t xml:space="preserve">SCS has no 4 mm 5052. Order 0.187in: top stays at Z 280, the extra 0.75 mm goes down, gap to the front bar drops to 0.25 mm, so skip the 1 mm shims.</t>
  </si>
  <si>
    <t xml:space="preserve">Gate</t>
  </si>
  <si>
    <t xml:space="preserve">Polycarbonate (clear)</t>
  </si>
  <si>
    <t xml:space="preserve">0.177" (4.5 mm)</t>
  </si>
  <si>
    <t xml:space="preserve">457.7 x 95</t>
  </si>
  <si>
    <t xml:space="preserve">CNC routed</t>
  </si>
  <si>
    <t xml:space="preserve">export from your Gate body</t>
  </si>
  <si>
    <t xml:space="preserve">Model is 4 mm; SCS polycarbonate comes in 3.0 / 4.5 / 5.6 mm. 4.5 mm still slides in the 6.2 mm slots.</t>
  </si>
  <si>
    <t xml:space="preserve">OPTION: clear front panel</t>
  </si>
  <si>
    <t xml:space="preserve">0.220" (5.6 mm)</t>
  </si>
  <si>
    <t xml:space="preserve">502 x 1100</t>
  </si>
  <si>
    <t xml:space="preserve">FrontPanel_6mm in Panels_v3</t>
  </si>
  <si>
    <t xml:space="preserve">Only if you go clear. Fits SCS's 30 x 44 in limit. Keep the PIR slot open; paint/opaque film over the pit zone.</t>
  </si>
  <si>
    <t xml:space="preserve">B. Wood (cut at home or have the store rip the sheets)</t>
  </si>
  <si>
    <t xml:space="preserve">Side panel L / R</t>
  </si>
  <si>
    <t xml:space="preserve">Sheet A: 1/4in exterior ply 4x8</t>
  </si>
  <si>
    <t xml:space="preserve">6 mm</t>
  </si>
  <si>
    <t xml:space="preserve">425 x 1100</t>
  </si>
  <si>
    <t xml:space="preserve">circular saw + drill</t>
  </si>
  <si>
    <t xml:space="preserve">CrowBox_Panels_v3.step</t>
  </si>
  <si>
    <t xml:space="preserve">Sheet A row 1: side + back; row 2: side + front (1100 along the 8 ft side).</t>
  </si>
  <si>
    <t xml:space="preserve">Sheet A</t>
  </si>
  <si>
    <t xml:space="preserve">490 x 1100</t>
  </si>
  <si>
    <t xml:space="preserve">saw + jigsaw (gland window)</t>
  </si>
  <si>
    <t xml:space="preserve">v3: gland window 106 x 65 behind the JB; JB mount holes; no Z 360 holes.</t>
  </si>
  <si>
    <t xml:space="preserve">Front panel</t>
  </si>
  <si>
    <t xml:space="preserve">saw + jigsaw (3 windows)</t>
  </si>
  <si>
    <t xml:space="preserve">Windows: reward 160 x 44, PIR slot 190 x 16, object 120 x 60.</t>
  </si>
  <si>
    <t xml:space="preserve">Sheet B: 1/4in ply 2x4 project panel</t>
  </si>
  <si>
    <t xml:space="preserve">522 x 452</t>
  </si>
  <si>
    <t xml:space="preserve">saw + drill</t>
  </si>
  <si>
    <t xml:space="preserve">CrowBox_Roof_Solar.step</t>
  </si>
  <si>
    <t xml:space="preserve">Sheet B along the 4 ft side: roof 452 + bay floor 418 + shelf 148 = 1018 mm.</t>
  </si>
  <si>
    <t xml:space="preserve">Bay floor v2</t>
  </si>
  <si>
    <t xml:space="preserve">Sheet B</t>
  </si>
  <si>
    <t xml:space="preserve">486 x 418</t>
  </si>
  <si>
    <t xml:space="preserve">saw + jigsaw (chute slot)</t>
  </si>
  <si>
    <t xml:space="preserve">CrowBox_BayFloor_v2.step</t>
  </si>
  <si>
    <t xml:space="preserve">Battery shelf v2</t>
  </si>
  <si>
    <t xml:space="preserve">486 x 148</t>
  </si>
  <si>
    <t xml:space="preserve">saw + jigsaw (notches, strap slots)</t>
  </si>
  <si>
    <t xml:space="preserve">CrowBox_FieldModules.step</t>
  </si>
  <si>
    <t xml:space="preserve">v2 adds 4 x M5 holes into the bottom side bars + 2 x M4 for the controller.</t>
  </si>
  <si>
    <t xml:space="preserve">Pit lining</t>
  </si>
  <si>
    <t xml:space="preserve">1/8in tempered hardboard 2x4</t>
  </si>
  <si>
    <t xml:space="preserve">3 mm</t>
  </si>
  <si>
    <t xml:space="preserve">150 x 150 (2), 144 x 150 (2)</t>
  </si>
  <si>
    <t xml:space="preserve">saw</t>
  </si>
  <si>
    <t xml:space="preserve">Paint matte light grey. VHB to the pit bars.</t>
  </si>
  <si>
    <t xml:space="preserve">Legs</t>
  </si>
  <si>
    <t xml:space="preserve">2x2 x 8 ft pressure-treated (38 x 38)</t>
  </si>
  <si>
    <t xml:space="preserve">38 x 38 x 960</t>
  </si>
  <si>
    <t xml:space="preserve">miter saw</t>
  </si>
  <si>
    <t xml:space="preserve">CrowBox_Legs_v2.step</t>
  </si>
  <si>
    <t xml:space="preserve">Boards 1-2: 960 + 960 + 502 each; board 3: 362 + 362.</t>
  </si>
  <si>
    <t xml:space="preserve">Ground aprons L / R</t>
  </si>
  <si>
    <t xml:space="preserve">2x2 PT</t>
  </si>
  <si>
    <t xml:space="preserve">38 x 38 x 362</t>
  </si>
  <si>
    <t xml:space="preserve">Ground apron back + raised front apron</t>
  </si>
  <si>
    <t xml:space="preserve">38 x 38 x 502</t>
  </si>
  <si>
    <t xml:space="preserve">Diagonals L / R</t>
  </si>
  <si>
    <t xml:space="preserve">1x2 x 8 ft (19 x 38)</t>
  </si>
  <si>
    <t xml:space="preserve">~660 (angle-cut to fit)</t>
  </si>
  <si>
    <t xml:space="preserve">One 8 ft 1x2 gives 660 + 660 + 750 + scrap.</t>
  </si>
  <si>
    <t xml:space="preserve">Diagonal back</t>
  </si>
  <si>
    <t xml:space="preserve">1x2</t>
  </si>
  <si>
    <t xml:space="preserve">~750 (angle-cut to fit)</t>
  </si>
  <si>
    <t xml:space="preserve">Skirt corner cleats</t>
  </si>
  <si>
    <t xml:space="preserve">3/4in square dowel</t>
  </si>
  <si>
    <t xml:space="preserve">19 x 19 x 90</t>
  </si>
  <si>
    <t xml:space="preserve">Perch rods</t>
  </si>
  <si>
    <t xml:space="preserve">1-1/4" hardwood dowel (31.75 mm)</t>
  </si>
  <si>
    <t xml:space="preserve">525</t>
  </si>
  <si>
    <t xml:space="preserve">Not a 1-5/16in closet pole: it won't fit the printed brackets.</t>
  </si>
  <si>
    <t xml:space="preserve">C. 2020 extrusion cut list (from 1000 mm sticks, 3 mm kerf)</t>
  </si>
  <si>
    <t xml:space="preserve">Length (mm)</t>
  </si>
  <si>
    <t xml:space="preserve">Total (mm)</t>
  </si>
  <si>
    <t xml:space="preserve">posts</t>
  </si>
  <si>
    <t xml:space="preserve">full-width crossbars (bottom front/back, reward level x3)</t>
  </si>
  <si>
    <t xml:space="preserve">between-post bars (reward back, bay x2, roof front/back)</t>
  </si>
  <si>
    <t xml:space="preserve">side bars (bottom, reward, bay, roof) x2 sides</t>
  </si>
  <si>
    <t xml:space="preserve">pit corner verticals</t>
  </si>
  <si>
    <t xml:space="preserve">pit top/bottom rings + 1 under the solenoid side</t>
  </si>
  <si>
    <t xml:space="preserve">Total</t>
  </si>
  <si>
    <t xml:space="preserve">1000 mm sticks needed</t>
  </si>
  <si>
    <t xml:space="preserve">Plan: 4 x [1000]; 2 x [490+490]; [490+450]; 2 x [450+450]; 2 x [380+380+170]; 2 x [380+380+150]; [170+170+150x4]; [150x3]</t>
  </si>
  <si>
    <t xml:space="preserve">Counts are after removing the duplicate pit bars in the model (see Model fixes): 4 x 150 removed. Square, deburred ends matter more than exact length; a miter saw with a non-ferrous blade, or order cut-to-length.</t>
  </si>
  <si>
    <t xml:space="preserve">Item</t>
  </si>
  <si>
    <t xml:space="preserve">Spec / part no.</t>
  </si>
  <si>
    <t xml:space="preserve">Need</t>
  </si>
  <si>
    <t xml:space="preserve">Unit</t>
  </si>
  <si>
    <t xml:space="preserve">Pack size</t>
  </si>
  <si>
    <t xml:space="preserve">Packs</t>
  </si>
  <si>
    <t xml:space="preserve">$ / pack (est.)</t>
  </si>
  <si>
    <t xml:space="preserve">Line $</t>
  </si>
  <si>
    <t xml:space="preserve">Have? (Y)</t>
  </si>
  <si>
    <t xml:space="preserve">Used for</t>
  </si>
  <si>
    <t xml:space="preserve">Notes / price basis</t>
  </si>
  <si>
    <t xml:space="preserve">F01</t>
  </si>
  <si>
    <t xml:space="preserve">2020 T-slot extrusion, 1000 mm</t>
  </si>
  <si>
    <t xml:space="preserve">20x20, 6 mm slot (M5), 10-pack</t>
  </si>
  <si>
    <t xml:space="preserve">sticks</t>
  </si>
  <si>
    <t xml:space="preserve">35 bars, cut list on Cut tab</t>
  </si>
  <si>
    <t xml:space="preserve">VEVOR 10 x 1000 mm, vevor.com $65.90-66.90 (Oct 2026). Or order cut-to-length.</t>
  </si>
  <si>
    <t xml:space="preserve">F02</t>
  </si>
  <si>
    <t xml:space="preserve">2020 corner bracket kit</t>
  </si>
  <si>
    <t xml:space="preserve">cast 20x28x28 ('2028') with M5 screws + T-nuts, 40 sets</t>
  </si>
  <si>
    <t xml:space="preserve">brackets</t>
  </si>
  <si>
    <t xml:space="preserve">70 positions in the model + 8 under the roof top bars</t>
  </si>
  <si>
    <t xml:space="preserve">Model uses McMaster 5537T935 (~$5-6 each, ~$430 for 78). Generic is 2 mm bigger: check the bay-floor corner notches. est. US retail Oct 2026</t>
  </si>
  <si>
    <t xml:space="preserve">F03</t>
  </si>
  <si>
    <t xml:space="preserve">M5 drop-in T-nut</t>
  </si>
  <si>
    <t xml:space="preserve">for 2020 / 6 mm slot</t>
  </si>
  <si>
    <t xml:space="preserve">pcs</t>
  </si>
  <si>
    <t xml:space="preserve">everything screwed into a slot (not brackets)</t>
  </si>
  <si>
    <t xml:space="preserve">est. US retail Oct 2026</t>
  </si>
  <si>
    <t xml:space="preserve">X01</t>
  </si>
  <si>
    <t xml:space="preserve">M5 x 8 button head</t>
  </si>
  <si>
    <t xml:space="preserve">ISO 7380, A2 stainless</t>
  </si>
  <si>
    <t xml:space="preserve">light ring, vision box ears</t>
  </si>
  <si>
    <t xml:space="preserve">X02</t>
  </si>
  <si>
    <t xml:space="preserve">M5 x 10 button head</t>
  </si>
  <si>
    <t xml:space="preserve">ISO 7380, A2</t>
  </si>
  <si>
    <t xml:space="preserve">bottom plate, chute bracket</t>
  </si>
  <si>
    <t xml:space="preserve">X03</t>
  </si>
  <si>
    <t xml:space="preserve">M5 x 12 button head</t>
  </si>
  <si>
    <t xml:space="preserve">panels, roof, bay floor, shelf, PIR housing</t>
  </si>
  <si>
    <t xml:space="preserve">X04</t>
  </si>
  <si>
    <t xml:space="preserve">M5 x 16 button head</t>
  </si>
  <si>
    <t xml:space="preserve">front panel, solar feet, pod, JB top</t>
  </si>
  <si>
    <t xml:space="preserve">X05</t>
  </si>
  <si>
    <t xml:space="preserve">M5 x 20 button head</t>
  </si>
  <si>
    <t xml:space="preserve">JB bottom bolts</t>
  </si>
  <si>
    <t xml:space="preserve">X06</t>
  </si>
  <si>
    <t xml:space="preserve">M5 x 25 flanged button head</t>
  </si>
  <si>
    <t xml:space="preserve">ISO 7380-2, A2</t>
  </si>
  <si>
    <t xml:space="preserve">perch brackets</t>
  </si>
  <si>
    <t xml:space="preserve">X07</t>
  </si>
  <si>
    <t xml:space="preserve">M5 x 50 button or socket head</t>
  </si>
  <si>
    <t xml:space="preserve">A2</t>
  </si>
  <si>
    <t xml:space="preserve">legs to posts</t>
  </si>
  <si>
    <t xml:space="preserve">X08</t>
  </si>
  <si>
    <t xml:space="preserve">M5 x 75 hex bolt</t>
  </si>
  <si>
    <t xml:space="preserve">A2, part-thread OK</t>
  </si>
  <si>
    <t xml:space="preserve">skirt bolts</t>
  </si>
  <si>
    <t xml:space="preserve">X09</t>
  </si>
  <si>
    <t xml:space="preserve">M5 flat washer</t>
  </si>
  <si>
    <t xml:space="preserve">ISO 7089, 10 mm OD, A2</t>
  </si>
  <si>
    <t xml:space="preserve">under heads on plywood</t>
  </si>
  <si>
    <t xml:space="preserve">X10</t>
  </si>
  <si>
    <t xml:space="preserve">5.3 x 20 mm, A2</t>
  </si>
  <si>
    <t xml:space="preserve">legs, skirt bolts</t>
  </si>
  <si>
    <t xml:space="preserve">X11</t>
  </si>
  <si>
    <t xml:space="preserve">M5 nylon-insert lock nut</t>
  </si>
  <si>
    <t xml:space="preserve">JB bottom, skirt bolts</t>
  </si>
  <si>
    <t xml:space="preserve">X12</t>
  </si>
  <si>
    <t xml:space="preserve">A2, 8 mm AF</t>
  </si>
  <si>
    <t xml:space="preserve">chute to bracket</t>
  </si>
  <si>
    <t xml:space="preserve">X13</t>
  </si>
  <si>
    <t xml:space="preserve">M5 unthreaded spacer, 5 mm long</t>
  </si>
  <si>
    <t xml:space="preserve">~10 mm OD, nylon or aluminum</t>
  </si>
  <si>
    <t xml:space="preserve">front panel standoffs</t>
  </si>
  <si>
    <t xml:space="preserve">X14</t>
  </si>
  <si>
    <t xml:space="preserve">M4 x 16 button head</t>
  </si>
  <si>
    <t xml:space="preserve">load cell fixed end, controller</t>
  </si>
  <si>
    <t xml:space="preserve">X15</t>
  </si>
  <si>
    <t xml:space="preserve">M4 x 20 button head</t>
  </si>
  <si>
    <t xml:space="preserve">tray to load cell, cradles</t>
  </si>
  <si>
    <t xml:space="preserve">X16</t>
  </si>
  <si>
    <t xml:space="preserve">M4 nylon-insert lock nut</t>
  </si>
  <si>
    <t xml:space="preserve">cradles, controller</t>
  </si>
  <si>
    <t xml:space="preserve">X17</t>
  </si>
  <si>
    <t xml:space="preserve">M4 flat washer</t>
  </si>
  <si>
    <t xml:space="preserve">load cell, cradles, controller</t>
  </si>
  <si>
    <t xml:space="preserve">X18</t>
  </si>
  <si>
    <t xml:space="preserve">Spacer M4 x 11 mm</t>
  </si>
  <si>
    <t xml:space="preserve">McMaster 92871A311 (18-8)</t>
  </si>
  <si>
    <t xml:space="preserve">tray to load cell</t>
  </si>
  <si>
    <t xml:space="preserve">as modeled; McMaster, est.</t>
  </si>
  <si>
    <t xml:space="preserve">X19</t>
  </si>
  <si>
    <t xml:space="preserve">Spacer M4 x 5 mm</t>
  </si>
  <si>
    <t xml:space="preserve">McMaster 92871A008 (18-8)</t>
  </si>
  <si>
    <t xml:space="preserve">load cell fixed end</t>
  </si>
  <si>
    <t xml:space="preserve">X20</t>
  </si>
  <si>
    <t xml:space="preserve">#8 x 2-1/2in exterior screw</t>
  </si>
  <si>
    <t xml:space="preserve">coated deck screw</t>
  </si>
  <si>
    <t xml:space="preserve">aprons</t>
  </si>
  <si>
    <t xml:space="preserve">X21</t>
  </si>
  <si>
    <t xml:space="preserve">#8 x 1-1/4in exterior screw</t>
  </si>
  <si>
    <t xml:space="preserve">coated</t>
  </si>
  <si>
    <t xml:space="preserve">diagonals</t>
  </si>
  <si>
    <t xml:space="preserve">X22</t>
  </si>
  <si>
    <t xml:space="preserve">#6 x 5/8in wood screw</t>
  </si>
  <si>
    <t xml:space="preserve">pan or flat head</t>
  </si>
  <si>
    <t xml:space="preserve">skirt cleats</t>
  </si>
  <si>
    <t xml:space="preserve">X23</t>
  </si>
  <si>
    <t xml:space="preserve">#6 x 3/4in pan-head screw</t>
  </si>
  <si>
    <t xml:space="preserve">perch rod locks</t>
  </si>
  <si>
    <t xml:space="preserve">X24</t>
  </si>
  <si>
    <t xml:space="preserve">Nylon standoff kit M2 / M2.5 / M3</t>
  </si>
  <si>
    <t xml:space="preserve">standoffs + screws + nuts</t>
  </si>
  <si>
    <t xml:space="preserve">kit</t>
  </si>
  <si>
    <t xml:space="preserve">Pi, camera, JB modules</t>
  </si>
  <si>
    <t xml:space="preserve">X25</t>
  </si>
  <si>
    <t xml:space="preserve">Pit mechanism hardware (?)</t>
  </si>
  <si>
    <t xml:space="preserve">servo mount, solenoid mount, trapdoor hinge</t>
  </si>
  <si>
    <t xml:space="preserve">lot</t>
  </si>
  <si>
    <t xml:space="preserve">your pit design (not specified)</t>
  </si>
  <si>
    <t xml:space="preserve">placeholder</t>
  </si>
  <si>
    <t xml:space="preserve">X26</t>
  </si>
  <si>
    <t xml:space="preserve">Gate actuator clevis pins / rod-end jaws (?)</t>
  </si>
  <si>
    <t xml:space="preserve">M4, per your gate design</t>
  </si>
  <si>
    <t xml:space="preserve">replace the clevis stand-ins</t>
  </si>
  <si>
    <t xml:space="preserve">S01</t>
  </si>
  <si>
    <t xml:space="preserve">1/4in (6 mm) exterior-glue plywood, 4 x 8 ft</t>
  </si>
  <si>
    <t xml:space="preserve">BC sanded or similar</t>
  </si>
  <si>
    <t xml:space="preserve">sheet</t>
  </si>
  <si>
    <t xml:space="preserve">Sheet A: side x2, back, front</t>
  </si>
  <si>
    <t xml:space="preserve">est. US retail Oct 2026 (home center)</t>
  </si>
  <si>
    <t xml:space="preserve">S02</t>
  </si>
  <si>
    <t xml:space="preserve">1/4in (6 mm) plywood, 2 x 4 ft project panel</t>
  </si>
  <si>
    <t xml:space="preserve">Sheet B: roof, bay floor, battery shelf</t>
  </si>
  <si>
    <t xml:space="preserve">S03</t>
  </si>
  <si>
    <t xml:space="preserve">1/8in (3 mm) tempered hardboard, 2 x 4 ft</t>
  </si>
  <si>
    <t xml:space="preserve">pit lining</t>
  </si>
  <si>
    <t xml:space="preserve">S04</t>
  </si>
  <si>
    <t xml:space="preserve">2x2 x 8 ft, pressure-treated</t>
  </si>
  <si>
    <t xml:space="preserve">actual 1.5 x 1.5 in (38 mm)</t>
  </si>
  <si>
    <t xml:space="preserve">boards</t>
  </si>
  <si>
    <t xml:space="preserve">legs + aprons (ground contact)</t>
  </si>
  <si>
    <t xml:space="preserve">S05</t>
  </si>
  <si>
    <t xml:space="preserve">1x2 x 8 ft</t>
  </si>
  <si>
    <t xml:space="preserve">actual 0.75 x 1.5 in</t>
  </si>
  <si>
    <t xml:space="preserve">S06</t>
  </si>
  <si>
    <t xml:space="preserve">3/4in square dowel, 36in</t>
  </si>
  <si>
    <t xml:space="preserve">skirt corner cleats</t>
  </si>
  <si>
    <t xml:space="preserve">S07</t>
  </si>
  <si>
    <t xml:space="preserve">1-1/4in hardwood dowel, 48in</t>
  </si>
  <si>
    <t xml:space="preserve">31.75 mm - not 1-5/16in closet pole</t>
  </si>
  <si>
    <t xml:space="preserve">perch rods x2</t>
  </si>
  <si>
    <t xml:space="preserve">S08</t>
  </si>
  <si>
    <t xml:space="preserve">Exterior primer + paint, 1 qt</t>
  </si>
  <si>
    <t xml:space="preserve">or exterior sealer</t>
  </si>
  <si>
    <t xml:space="preserve">qt</t>
  </si>
  <si>
    <t xml:space="preserve">all wood</t>
  </si>
  <si>
    <t xml:space="preserve">C01</t>
  </si>
  <si>
    <t xml:space="preserve">Reward tray (SendCutSend)</t>
  </si>
  <si>
    <t xml:space="preserve">5052-H32 0.080", 3 bends</t>
  </si>
  <si>
    <t xml:space="preserve">part</t>
  </si>
  <si>
    <t xml:space="preserve">reward tray</t>
  </si>
  <si>
    <t xml:space="preserve">est.; get the real quote by uploading the STEP</t>
  </si>
  <si>
    <t xml:space="preserve">C02</t>
  </si>
  <si>
    <t xml:space="preserve">Reward bottom plate (SendCutSend)</t>
  </si>
  <si>
    <t xml:space="preserve">5052-H32 0.187"</t>
  </si>
  <si>
    <t xml:space="preserve">bottom plate v3</t>
  </si>
  <si>
    <t xml:space="preserve">est.</t>
  </si>
  <si>
    <t xml:space="preserve">C03</t>
  </si>
  <si>
    <t xml:space="preserve">Gate (SendCutSend)</t>
  </si>
  <si>
    <t xml:space="preserve">polycarbonate 0.177" (4.5 mm), routed</t>
  </si>
  <si>
    <t xml:space="preserve">gate</t>
  </si>
  <si>
    <t xml:space="preserve">C04</t>
  </si>
  <si>
    <t xml:space="preserve">polycarbonate 0.220" (5.6 mm), 502 x 1100</t>
  </si>
  <si>
    <t xml:space="preserve">Option</t>
  </si>
  <si>
    <t xml:space="preserve">front panel</t>
  </si>
  <si>
    <t xml:space="preserve">est.; only if you go clear</t>
  </si>
  <si>
    <t xml:space="preserve">E01</t>
  </si>
  <si>
    <t xml:space="preserve">IP65 junction box ~250 x 200 x 100 with mounting plate</t>
  </si>
  <si>
    <t xml:space="preserve">ABS or PC, hinged or screw lid</t>
  </si>
  <si>
    <t xml:space="preserve">main electronics</t>
  </si>
  <si>
    <t xml:space="preserve">Modeled Ruilogod 200x120x75 is too small for the doc's module list (see Doc check). If you already have it, mark Y and expect a cramped 2-layer build. est. US retail Oct 2026</t>
  </si>
  <si>
    <t xml:space="preserve">E02</t>
  </si>
  <si>
    <t xml:space="preserve">ESP32 DevKit V1 (DOIT, 30-pin)</t>
  </si>
  <si>
    <t xml:space="preserve">main controller</t>
  </si>
  <si>
    <t xml:space="preserve">E03</t>
  </si>
  <si>
    <t xml:space="preserve">ESP32 30-pin screw-terminal breakout</t>
  </si>
  <si>
    <t xml:space="preserve">~70 x 60</t>
  </si>
  <si>
    <t xml:space="preserve">E04</t>
  </si>
  <si>
    <t xml:space="preserve">MCP23017 I/O expander breakout</t>
  </si>
  <si>
    <t xml:space="preserve">IR, LEDs, gate dir, solenoid lines</t>
  </si>
  <si>
    <t xml:space="preserve">E05</t>
  </si>
  <si>
    <t xml:space="preserve">L298N dual H-bridge</t>
  </si>
  <si>
    <t xml:space="preserve">43 x 43 x 27</t>
  </si>
  <si>
    <t xml:space="preserve">gate actuators</t>
  </si>
  <si>
    <t xml:space="preserve">E06</t>
  </si>
  <si>
    <t xml:space="preserve">Logic-level MOSFET switch module</t>
  </si>
  <si>
    <t xml:space="preserve">AOD4184 / D4184 type, works from 3.3 V</t>
  </si>
  <si>
    <t xml:space="preserve">solenoid, light ring</t>
  </si>
  <si>
    <t xml:space="preserve">Replaces the doc's IRF520 modules: an IRF520 barely turns on from 3.3 V logic. est. US retail Oct 2026</t>
  </si>
  <si>
    <t xml:space="preserve">E07</t>
  </si>
  <si>
    <t xml:space="preserve">Buck 12-&gt;5 V, LM2596 with voltmeter</t>
  </si>
  <si>
    <t xml:space="preserve">set 5.1 V</t>
  </si>
  <si>
    <t xml:space="preserve">logic rail (ESP32, MCP, pod, IR)</t>
  </si>
  <si>
    <t xml:space="preserve">E08</t>
  </si>
  <si>
    <t xml:space="preserve">Buck 12-&gt;6 V, 5 A or more, with display</t>
  </si>
  <si>
    <t xml:space="preserve">XL4015 / XL4016 type</t>
  </si>
  <si>
    <t xml:space="preserve">servo rail (4 x MG996R)</t>
  </si>
  <si>
    <t xml:space="preserve">Doc left buck #2's job open: make it the servo rail. MG996R stalls at ~2.5 A each; an LM2596 sags. est. US retail Oct 2026</t>
  </si>
  <si>
    <t xml:space="preserve">E10</t>
  </si>
  <si>
    <t xml:space="preserve">WAGO 221-415 lever connector (5-port)</t>
  </si>
  <si>
    <t xml:space="preserve">12 V, 6 V, 5 V, GND buses</t>
  </si>
  <si>
    <t xml:space="preserve">Doc said ~5; GND alone has ~18 wires. est. US retail Oct 2026</t>
  </si>
  <si>
    <t xml:space="preserve">E11</t>
  </si>
  <si>
    <t xml:space="preserve">ATC inline fuse holder, 16 AWG, waterproof</t>
  </si>
  <si>
    <t xml:space="preserve">fuse 1 at battery (7.5 A), fuse 2 in JB (5 A)</t>
  </si>
  <si>
    <t xml:space="preserve">Two fuses: fuse 1 protects the battery cable, fuse 2 is the reachable one the doc asked for. est. US retail Oct 2026</t>
  </si>
  <si>
    <t xml:space="preserve">E12</t>
  </si>
  <si>
    <t xml:space="preserve">ATC blade fuse assortment</t>
  </si>
  <si>
    <t xml:space="preserve">incl. 5 A and 7.5 A</t>
  </si>
  <si>
    <t xml:space="preserve">E13</t>
  </si>
  <si>
    <t xml:space="preserve">1N4007 diode</t>
  </si>
  <si>
    <t xml:space="preserve">flyback</t>
  </si>
  <si>
    <t xml:space="preserve">pack</t>
  </si>
  <si>
    <t xml:space="preserve">across the solenoid</t>
  </si>
  <si>
    <t xml:space="preserve">E14</t>
  </si>
  <si>
    <t xml:space="preserve">Electrolytic capacitors</t>
  </si>
  <si>
    <t xml:space="preserve">1000 uF 16 V (servo rail), 470 uF 25 V (12 V bus)</t>
  </si>
  <si>
    <t xml:space="preserve">rail buffering</t>
  </si>
  <si>
    <t xml:space="preserve">E15</t>
  </si>
  <si>
    <t xml:space="preserve">Resistor assortment (?)</t>
  </si>
  <si>
    <t xml:space="preserve">need 3 x 330 ohm for the LEDs</t>
  </si>
  <si>
    <t xml:space="preserve">signal LEDs</t>
  </si>
  <si>
    <t xml:space="preserve">E16</t>
  </si>
  <si>
    <t xml:space="preserve">Main power switch, sealed</t>
  </si>
  <si>
    <t xml:space="preserve">12 V 10 A toggle/rocker with boot</t>
  </si>
  <si>
    <t xml:space="preserve">on/off in the JB side wall</t>
  </si>
  <si>
    <t xml:space="preserve">Recommended: fuse 1 sits behind a panel, so pulling it isn't a practical off switch. est. US retail Oct 2026</t>
  </si>
  <si>
    <t xml:space="preserve">E17</t>
  </si>
  <si>
    <t xml:space="preserve">SAE 2-pin pigtail (?)</t>
  </si>
  <si>
    <t xml:space="preserve">charge port on the 12 V input</t>
  </si>
  <si>
    <t xml:space="preserve">charging before solar</t>
  </si>
  <si>
    <t xml:space="preserve">E18</t>
  </si>
  <si>
    <t xml:space="preserve">Notecarrier-A</t>
  </si>
  <si>
    <t xml:space="preserve">Blues</t>
  </si>
  <si>
    <t xml:space="preserve">cellular</t>
  </si>
  <si>
    <t xml:space="preserve">shop.blues.com $25.00</t>
  </si>
  <si>
    <t xml:space="preserve">E19</t>
  </si>
  <si>
    <t xml:space="preserve">Notecard Cellular</t>
  </si>
  <si>
    <t xml:space="preserve">shop.blues.com from $49.00</t>
  </si>
  <si>
    <t xml:space="preserve">V01</t>
  </si>
  <si>
    <t xml:space="preserve">Clear-lid IP65 box 115 x 90 x 55 with ears</t>
  </si>
  <si>
    <t xml:space="preserve">Anbox 115A-type</t>
  </si>
  <si>
    <t xml:space="preserve">vision enclosure</t>
  </si>
  <si>
    <t xml:space="preserve">V02</t>
  </si>
  <si>
    <t xml:space="preserve">Raspberry Pi Zero 2 WH</t>
  </si>
  <si>
    <t xml:space="preserve">vision</t>
  </si>
  <si>
    <t xml:space="preserve">V03</t>
  </si>
  <si>
    <t xml:space="preserve">Raspberry Pi Camera Module 3 (standard)</t>
  </si>
  <si>
    <t xml:space="preserve">not Wide</t>
  </si>
  <si>
    <t xml:space="preserve">V04</t>
  </si>
  <si>
    <t xml:space="preserve">Pi Zero camera cable 22-&gt;15 pin, 150 mm</t>
  </si>
  <si>
    <t xml:space="preserve">camera to Pi</t>
  </si>
  <si>
    <t xml:space="preserve">Camera 3's included cable has the wrong end for a Zero. est. US retail Oct 2026</t>
  </si>
  <si>
    <t xml:space="preserve">V05</t>
  </si>
  <si>
    <t xml:space="preserve">microSD 32 GB, high-endurance</t>
  </si>
  <si>
    <t xml:space="preserve">Pi OS</t>
  </si>
  <si>
    <t xml:space="preserve">V06</t>
  </si>
  <si>
    <t xml:space="preserve">Mini buck 12-&gt;5 V 3 A (MP1584EN), 6-pack</t>
  </si>
  <si>
    <t xml:space="preserve">Pi + Coral + PIR power from the Cat6 12 V</t>
  </si>
  <si>
    <t xml:space="preserve">V07</t>
  </si>
  <si>
    <t xml:space="preserve">Coral USB Accelerator</t>
  </si>
  <si>
    <t xml:space="preserve">inference</t>
  </si>
  <si>
    <t xml:space="preserve">Seeed $59.99; deals have run $75 - check it's still sold</t>
  </si>
  <si>
    <t xml:space="preserve">V08</t>
  </si>
  <si>
    <t xml:space="preserve">Right-angle USB-C to micro-USB OTG cable</t>
  </si>
  <si>
    <t xml:space="preserve">short</t>
  </si>
  <si>
    <t xml:space="preserve">Coral to Pi</t>
  </si>
  <si>
    <t xml:space="preserve">M01</t>
  </si>
  <si>
    <t xml:space="preserve">MG996R servo</t>
  </si>
  <si>
    <t xml:space="preserve">metal gear</t>
  </si>
  <si>
    <t xml:space="preserve">3 dosers + trapdoor</t>
  </si>
  <si>
    <t xml:space="preserve">M02</t>
  </si>
  <si>
    <t xml:space="preserve">12 V solenoid deadbolt (Bonsicoky)</t>
  </si>
  <si>
    <t xml:space="preserve">trapdoor lock</t>
  </si>
  <si>
    <t xml:space="preserve">M03</t>
  </si>
  <si>
    <t xml:space="preserve">Mini 12 V linear actuator, 50 mm stroke</t>
  </si>
  <si>
    <t xml:space="preserve">Price for generic minis. 50 mm stroke limits the reward window to 44 mm tall; 100 mm stroke would fix that. est. US retail Oct 2026</t>
  </si>
  <si>
    <t xml:space="preserve">M04</t>
  </si>
  <si>
    <t xml:space="preserve">1 kg straight-bar load cell + HX711 kit</t>
  </si>
  <si>
    <t xml:space="preserve">80 x 12.7 x 12.7</t>
  </si>
  <si>
    <t xml:space="preserve">kits</t>
  </si>
  <si>
    <t xml:space="preserve">reward tray + pit; HX711 #1 in vision box, #2 in JB</t>
  </si>
  <si>
    <t xml:space="preserve">M05</t>
  </si>
  <si>
    <t xml:space="preserve">AM312 mini PIR, 5-pack</t>
  </si>
  <si>
    <t xml:space="preserve">PIR housing</t>
  </si>
  <si>
    <t xml:space="preserve">M06</t>
  </si>
  <si>
    <t xml:space="preserve">Passive buzzer module (3-pin, with transistor), 5-pack</t>
  </si>
  <si>
    <t xml:space="preserve">signal pod</t>
  </si>
  <si>
    <t xml:space="preserve">M07</t>
  </si>
  <si>
    <t xml:space="preserve">5 mm diffused LEDs, green / red / blue</t>
  </si>
  <si>
    <t xml:space="preserve">assortment</t>
  </si>
  <si>
    <t xml:space="preserve">M08</t>
  </si>
  <si>
    <t xml:space="preserve">12 V COB LED strip, 8 mm, 4000-5000 K, CRI 90+</t>
  </si>
  <si>
    <t xml:space="preserve">need ~0.5 m</t>
  </si>
  <si>
    <t xml:space="preserve">roll</t>
  </si>
  <si>
    <t xml:space="preserve">pit light ring</t>
  </si>
  <si>
    <t xml:space="preserve">Doc said a 5 V strip under the reward floor; the model uses 12 V on the pit ring (switched from 12 V, no load on the 5 V buck). est. US retail Oct 2026</t>
  </si>
  <si>
    <t xml:space="preserve">M09</t>
  </si>
  <si>
    <t xml:space="preserve">IR break-beam pair, 5 mm</t>
  </si>
  <si>
    <t xml:space="preserve">e.g. Adafruit 2168</t>
  </si>
  <si>
    <t xml:space="preserve">pairs</t>
  </si>
  <si>
    <t xml:space="preserve">hopper empty detection</t>
  </si>
  <si>
    <t xml:space="preserve">P01</t>
  </si>
  <si>
    <t xml:space="preserve">12 V LiFePO4 battery, 8 Ah</t>
  </si>
  <si>
    <t xml:space="preserve">~151 x 65 x 95, F2 terminals</t>
  </si>
  <si>
    <t xml:space="preserve">battery shelf</t>
  </si>
  <si>
    <t xml:space="preserve">P02</t>
  </si>
  <si>
    <t xml:space="preserve">Hook-and-loop strap 25 mm x 50 cm</t>
  </si>
  <si>
    <t xml:space="preserve">battery hold-down (shelf slots)</t>
  </si>
  <si>
    <t xml:space="preserve">P03</t>
  </si>
  <si>
    <t xml:space="preserve">LiFePO4 charger 14.6 V, 2-5 A (?)</t>
  </si>
  <si>
    <t xml:space="preserve">charging until solar</t>
  </si>
  <si>
    <t xml:space="preserve">8 Ah lasts ~1.5-2 days at ~2-3 W average. est. US retail Oct 2026</t>
  </si>
  <si>
    <t xml:space="preserve">P04</t>
  </si>
  <si>
    <t xml:space="preserve">Solar panel 20 W, 12 V</t>
  </si>
  <si>
    <t xml:space="preserve">~470 x 345 x 20</t>
  </si>
  <si>
    <t xml:space="preserve">roof</t>
  </si>
  <si>
    <t xml:space="preserve">P05</t>
  </si>
  <si>
    <t xml:space="preserve">Small-panel tilt mount kit</t>
  </si>
  <si>
    <t xml:space="preserve">P06</t>
  </si>
  <si>
    <t xml:space="preserve">Victron SmartSolar MPPT 75/10</t>
  </si>
  <si>
    <t xml:space="preserve">113 x 100 x 40, LiFePO4 profile, load output</t>
  </si>
  <si>
    <t xml:space="preserve">solarcellzusa.com $69.97. Budget alt: Renogy Wanderer 10A $34.99, but its page doesn't list lithium support.</t>
  </si>
  <si>
    <t xml:space="preserve">CB10</t>
  </si>
  <si>
    <t xml:space="preserve">3-core 22 AWG round jacketed cable</t>
  </si>
  <si>
    <t xml:space="preserve">PVC, OD ~4.2 mm</t>
  </si>
  <si>
    <t xml:space="preserve">m</t>
  </si>
  <si>
    <t xml:space="preserve">4 servos + PIR</t>
  </si>
  <si>
    <t xml:space="preserve">25 ft roll. est. US retail Oct 2026</t>
  </si>
  <si>
    <t xml:space="preserve">CB11</t>
  </si>
  <si>
    <t xml:space="preserve">2-core 20 AWG round jacketed cable</t>
  </si>
  <si>
    <t xml:space="preserve">OD ~4.3 mm</t>
  </si>
  <si>
    <t xml:space="preserve">actuators, solenoid, light ring</t>
  </si>
  <si>
    <t xml:space="preserve">CB12</t>
  </si>
  <si>
    <t xml:space="preserve">6-core 24 AWG round cable</t>
  </si>
  <si>
    <t xml:space="preserve">OD ~4.8 mm</t>
  </si>
  <si>
    <t xml:space="preserve">signal pod (IR later from the same roll)</t>
  </si>
  <si>
    <t xml:space="preserve">CB13</t>
  </si>
  <si>
    <t xml:space="preserve">4-core 24 AWG shielded cable</t>
  </si>
  <si>
    <t xml:space="preserve">foil + drain, OD ~4.6 mm</t>
  </si>
  <si>
    <t xml:space="preserve">pit load cell</t>
  </si>
  <si>
    <t xml:space="preserve">10 ft roll. est. US retail Oct 2026</t>
  </si>
  <si>
    <t xml:space="preserve">CB14</t>
  </si>
  <si>
    <t xml:space="preserve">Cat6 patch cable, stranded, 5 ft</t>
  </si>
  <si>
    <t xml:space="preserve">plugs cut off</t>
  </si>
  <si>
    <t xml:space="preserve">vision box link</t>
  </si>
  <si>
    <t xml:space="preserve">CB15</t>
  </si>
  <si>
    <t xml:space="preserve">2-core 16 AWG round jacketed cable</t>
  </si>
  <si>
    <t xml:space="preserve">OD &lt;= 7.5 mm for the PG9</t>
  </si>
  <si>
    <t xml:space="preserve">10 ft. est. US retail Oct 2026</t>
  </si>
  <si>
    <t xml:space="preserve">CB16</t>
  </si>
  <si>
    <t xml:space="preserve">2-core 18 AWG UV-rated outdoor cable</t>
  </si>
  <si>
    <t xml:space="preserve">OD ~6 mm</t>
  </si>
  <si>
    <t xml:space="preserve">solar run</t>
  </si>
  <si>
    <t xml:space="preserve">CB17</t>
  </si>
  <si>
    <t xml:space="preserve">16 AWG red/black zip wire</t>
  </si>
  <si>
    <t xml:space="preserve">battery leads</t>
  </si>
  <si>
    <t xml:space="preserve">CB18</t>
  </si>
  <si>
    <t xml:space="preserve">22 AWG stranded hookup wire, 6 colors</t>
  </si>
  <si>
    <t xml:space="preserve">inside the JB</t>
  </si>
  <si>
    <t xml:space="preserve">CB19</t>
  </si>
  <si>
    <t xml:space="preserve">PG16 nylon gland with 4-hole insert</t>
  </si>
  <si>
    <t xml:space="preserve">4 x 5 mm holes</t>
  </si>
  <si>
    <t xml:space="preserve">JB G1-G3</t>
  </si>
  <si>
    <t xml:space="preserve">CB20</t>
  </si>
  <si>
    <t xml:space="preserve">Cable gland assortment PG7 / PG9 / PG11</t>
  </si>
  <si>
    <t xml:space="preserve">nylon, IP68</t>
  </si>
  <si>
    <t xml:space="preserve">JB G4/G5, vision box x3, roof</t>
  </si>
  <si>
    <t xml:space="preserve">CB21</t>
  </si>
  <si>
    <t xml:space="preserve">Ferrule assortment 22-16 AWG</t>
  </si>
  <si>
    <t xml:space="preserve">screw terminals</t>
  </si>
  <si>
    <t xml:space="preserve">CB22</t>
  </si>
  <si>
    <t xml:space="preserve">F2 (6.3 mm) insulated female spade terminals</t>
  </si>
  <si>
    <t xml:space="preserve">battery terminals</t>
  </si>
  <si>
    <t xml:space="preserve">CB23</t>
  </si>
  <si>
    <t xml:space="preserve">2.54 mm male header strips</t>
  </si>
  <si>
    <t xml:space="preserve">40-pin, 10-pack</t>
  </si>
  <si>
    <t xml:space="preserve">servo + LED connections</t>
  </si>
  <si>
    <t xml:space="preserve">CB24</t>
  </si>
  <si>
    <t xml:space="preserve">Pre-crimped Dupont F-F jumpers</t>
  </si>
  <si>
    <t xml:space="preserve">PIR, HX711 headers</t>
  </si>
  <si>
    <t xml:space="preserve">CB25</t>
  </si>
  <si>
    <t xml:space="preserve">Heat-shrink assortment 2:1</t>
  </si>
  <si>
    <t xml:space="preserve">CB26</t>
  </si>
  <si>
    <t xml:space="preserve">Adhesive-lined heat-shrink 3:1</t>
  </si>
  <si>
    <t xml:space="preserve">splices outside boxes</t>
  </si>
  <si>
    <t xml:space="preserve">CB27</t>
  </si>
  <si>
    <t xml:space="preserve">UV-resistant black zip ties, 4in + 8in</t>
  </si>
  <si>
    <t xml:space="preserve">200 pcs</t>
  </si>
  <si>
    <t xml:space="preserve">CB28</t>
  </si>
  <si>
    <t xml:space="preserve">Adhesive zip-tie mounts</t>
  </si>
  <si>
    <t xml:space="preserve">50 pcs</t>
  </si>
  <si>
    <t xml:space="preserve">back panel, bay floor</t>
  </si>
  <si>
    <t xml:space="preserve">CB29</t>
  </si>
  <si>
    <t xml:space="preserve">2020 slot cable clips</t>
  </si>
  <si>
    <t xml:space="preserve">runs along bars/posts</t>
  </si>
  <si>
    <t xml:space="preserve">CB30</t>
  </si>
  <si>
    <t xml:space="preserve">Split loom 1/4in x 10 ft</t>
  </si>
  <si>
    <t xml:space="preserve">bundles, bay-floor holes</t>
  </si>
  <si>
    <t xml:space="preserve">CB31</t>
  </si>
  <si>
    <t xml:space="preserve">Neutral-cure silicone</t>
  </si>
  <si>
    <t xml:space="preserve">tube</t>
  </si>
  <si>
    <t xml:space="preserve">JB back face, glands</t>
  </si>
  <si>
    <t xml:space="preserve">CB32</t>
  </si>
  <si>
    <t xml:space="preserve">3M VHB tape 1in (5952)</t>
  </si>
  <si>
    <t xml:space="preserve">pit lining, signal pod, Coral</t>
  </si>
  <si>
    <t xml:space="preserve">FL1</t>
  </si>
  <si>
    <t xml:space="preserve">PETG 1.75 mm, 1 kg</t>
  </si>
  <si>
    <t xml:space="preserve">spools</t>
  </si>
  <si>
    <t xml:space="preserve">parts on Print tab</t>
  </si>
  <si>
    <t xml:space="preserve">FL2</t>
  </si>
  <si>
    <t xml:space="preserve">ASA 1.75 mm, 1 kg</t>
  </si>
  <si>
    <t xml:space="preserve">UV-stable</t>
  </si>
  <si>
    <t xml:space="preserve">perch brackets, signal pod</t>
  </si>
  <si>
    <t xml:space="preserve">I01</t>
  </si>
  <si>
    <t xml:space="preserve">Ground anchors / stakes (?)</t>
  </si>
  <si>
    <t xml:space="preserve">or sandbags on the ground aprons</t>
  </si>
  <si>
    <t xml:space="preserve">box is ~1.9 m tall</t>
  </si>
  <si>
    <t xml:space="preserve">Totals (all phases incl. options)</t>
  </si>
  <si>
    <t xml:space="preserve">Tool</t>
  </si>
  <si>
    <t xml:space="preserve">Needed for</t>
  </si>
  <si>
    <t xml:space="preserve">Est. $</t>
  </si>
  <si>
    <t xml:space="preserve">3D printer, 220+ mm bed (?)</t>
  </si>
  <si>
    <t xml:space="preserve">printed parts; trapdoor frame is 218 mm</t>
  </si>
  <si>
    <t xml:space="preserve">assumed owned</t>
  </si>
  <si>
    <t xml:space="preserve">Hex keys 2.5 / 3 / 4 mm</t>
  </si>
  <si>
    <t xml:space="preserve">M4 + M5 button heads, socket heads</t>
  </si>
  <si>
    <t xml:space="preserve">Cordless drill/driver (?)</t>
  </si>
  <si>
    <t xml:space="preserve">everything</t>
  </si>
  <si>
    <t xml:space="preserve">Drill bits: 4.5, 5.5, 8 mm + 1/8in pilot (?)</t>
  </si>
  <si>
    <t xml:space="preserve">M4/M5 clearance, cable holes, wood screws</t>
  </si>
  <si>
    <t xml:space="preserve">Step drill to 25 mm (?)</t>
  </si>
  <si>
    <t xml:space="preserve">gland holes 12.5 / 15.5 / 22.5-23 mm in the JB and vision box</t>
  </si>
  <si>
    <t xml:space="preserve">Jigsaw (?)</t>
  </si>
  <si>
    <t xml:space="preserve">front-panel windows, back-panel gland window, bay-floor chute slot</t>
  </si>
  <si>
    <t xml:space="preserve">or a hole saw + file</t>
  </si>
  <si>
    <t xml:space="preserve">Circular saw or store rip cuts (?)</t>
  </si>
  <si>
    <t xml:space="preserve">plywood panels</t>
  </si>
  <si>
    <t xml:space="preserve">home centers rip sheets free</t>
  </si>
  <si>
    <t xml:space="preserve">Miter saw + non-ferrous blade (?)</t>
  </si>
  <si>
    <t xml:space="preserve">2020 extrusion (31 cuts), 2x2, 1x2</t>
  </si>
  <si>
    <t xml:space="preserve">blade price; or order the extrusion cut-to-length</t>
  </si>
  <si>
    <t xml:space="preserve">Deburring tool / file (?)</t>
  </si>
  <si>
    <t xml:space="preserve">extrusion ends, plate holes</t>
  </si>
  <si>
    <t xml:space="preserve">Soldering iron + solder + flux (?)</t>
  </si>
  <si>
    <t xml:space="preserve">servo headers, splices, LED leads</t>
  </si>
  <si>
    <t xml:space="preserve">Heat gun (?)</t>
  </si>
  <si>
    <t xml:space="preserve">heat-shrink, adhesive-lined splices</t>
  </si>
  <si>
    <t xml:space="preserve">Wire strippers 16-26 AWG (?)</t>
  </si>
  <si>
    <t xml:space="preserve">all cables</t>
  </si>
  <si>
    <t xml:space="preserve">Ferrule crimper (?)</t>
  </si>
  <si>
    <t xml:space="preserve">screw-terminal ends</t>
  </si>
  <si>
    <t xml:space="preserve">often sold with the ferrule kit</t>
  </si>
  <si>
    <t xml:space="preserve">Dupont crimper (?)</t>
  </si>
  <si>
    <t xml:space="preserve">only if you crimp your own Dupont ends</t>
  </si>
  <si>
    <t xml:space="preserve">skip with pre-crimped jumpers</t>
  </si>
  <si>
    <t xml:space="preserve">Multimeter (?)</t>
  </si>
  <si>
    <t xml:space="preserve">bucks, polarity, continuity</t>
  </si>
  <si>
    <t xml:space="preserve">Calipers (?)</t>
  </si>
  <si>
    <t xml:space="preserve">measure modules before finalizing (the doc asks for this)</t>
  </si>
  <si>
    <t xml:space="preserve">Clamps, square, tape measure</t>
  </si>
  <si>
    <t xml:space="preserve">panels, legs</t>
  </si>
  <si>
    <t xml:space="preserve">Paint brush / small roller</t>
  </si>
  <si>
    <t xml:space="preserve">plywood</t>
  </si>
  <si>
    <t xml:space="preserve">Micro-USB data cable</t>
  </si>
  <si>
    <t xml:space="preserve">flashing the ESP32</t>
  </si>
  <si>
    <t xml:space="preserve">microSD reader (?)</t>
  </si>
  <si>
    <t xml:space="preserve">Pi OS image</t>
  </si>
  <si>
    <t xml:space="preserve">"?" = not sure you have it or need it. Items at $0 are assumed owned. No tap set needed: nothing in the design is tapped.</t>
  </si>
  <si>
    <t xml:space="preserve">In the model now?</t>
  </si>
  <si>
    <t xml:space="preserve">Needs a model?</t>
  </si>
  <si>
    <t xml:space="preserve">What to do</t>
  </si>
  <si>
    <t xml:space="preserve">Doser servos x3 (MG996R)</t>
  </si>
  <si>
    <t xml:space="preserve">ADDED: CrowBox_FieldModules</t>
  </si>
  <si>
    <t xml:space="preserve">done</t>
  </si>
  <si>
    <t xml:space="preserve">Placed on the cradles' existing 49.5 x 10 hole pattern, shaft toward the bottle, body hanging outboard.</t>
  </si>
  <si>
    <t xml:space="preserve">ADDED: FieldModules + _SignalPod_print</t>
  </si>
  <si>
    <t xml:space="preserve">Sits on the bottom plate right of the PIR housing; nose through the PIR slot so the crow sees the LEDs ~45 mm under the reward window. Install before the tray (screw is under it).</t>
  </si>
  <si>
    <t xml:space="preserve">Solar charge controller + 8 Ah battery + fuse 1</t>
  </si>
  <si>
    <t xml:space="preserve">ADDED: FieldModules</t>
  </si>
  <si>
    <t xml:space="preserve">Controller lies flat on the shelf right of the battery; fuse holder on the battery lid.</t>
  </si>
  <si>
    <t xml:space="preserve">All cable runs + vision-box glands</t>
  </si>
  <si>
    <t xml:space="preserve">ADDED: CrowBox_Wiring_v2</t>
  </si>
  <si>
    <t xml:space="preserve">19 runs, each at its real OD, ending at its gland hole. Replaces CrowBox_CableRoutes_BatteryShelf.</t>
  </si>
  <si>
    <t xml:space="preserve">JB gland row</t>
  </si>
  <si>
    <t xml:space="preserve">UPDATED: CrowBox_JunctionBox_v2</t>
  </si>
  <si>
    <t xml:space="preserve">3 x PG16 multi-hole + 2 x PG9 in one low row; back panel gets one gland window (Panels_v3).</t>
  </si>
  <si>
    <t xml:space="preserve">Doser rotors x3</t>
  </si>
  <si>
    <t xml:space="preserve">no (rotor_60mm.step exists from earlier)</t>
  </si>
  <si>
    <t xml:space="preserve">YES</t>
  </si>
  <si>
    <t xml:space="preserve">Add on the servo horns and check the pocket sits under the bottle mouth; the earlier rotor predates the MG996R switch.</t>
  </si>
  <si>
    <t xml:space="preserve">Gatorade bottles x3</t>
  </si>
  <si>
    <t xml:space="preserve">no (placeholder STEP exists)</t>
  </si>
  <si>
    <t xml:space="preserve">Drop into the cradle rings to check bay height and roof clearance.</t>
  </si>
  <si>
    <t xml:space="preserve">Corner brackets under the roof top bars x8</t>
  </si>
  <si>
    <t xml:space="preserve">no</t>
  </si>
  <si>
    <t xml:space="preserve">Simple; counted in the bracket kit.</t>
  </si>
  <si>
    <t xml:space="preserve">Real gate clevises + actuator rear mounts</t>
  </si>
  <si>
    <t xml:space="preserve">stand-ins only</t>
  </si>
  <si>
    <t xml:space="preserve">Once you pick the rod-end/clevis parts.</t>
  </si>
  <si>
    <t xml:space="preserve">Trapdoor hinge / pivot</t>
  </si>
  <si>
    <t xml:space="preserve">Needed to check the load-cell cable's service loop and the trapdoor swing.</t>
  </si>
  <si>
    <t xml:space="preserve">IR beam holders x3</t>
  </si>
  <si>
    <t xml:space="preserve">no (paused)</t>
  </si>
  <si>
    <t xml:space="preserve">later</t>
  </si>
  <si>
    <t xml:space="preserve">Cable W04 and gland hole G1-UL are reserved.</t>
  </si>
  <si>
    <t xml:space="preserve">JB internals (ESP32, MCP23017, L298N, bucks, MOSFETs, WAGOs, HX711 #2, Notecard)</t>
  </si>
  <si>
    <t xml:space="preserve">Your call: not modeled. But see Doc check: the modeled box is too small for them.</t>
  </si>
  <si>
    <t xml:space="preserve">Vision-box internals added (HX711 #1, mini buck)</t>
  </si>
  <si>
    <t xml:space="preserve">Small; VHB/standoffs on the free strip beside the Coral.</t>
  </si>
  <si>
    <t xml:space="preserve">Cloth funnel at the object window</t>
  </si>
  <si>
    <t xml:space="preserve">Craft part.</t>
  </si>
  <si>
    <t xml:space="preserve">Fasteners, cable ties, clips</t>
  </si>
  <si>
    <t xml:space="preserve">Counted on Fasteners / Buy.</t>
  </si>
  <si>
    <t xml:space="preserve">Main power switch</t>
  </si>
  <si>
    <t xml:space="preserve">Hole in the JB side wall.</t>
  </si>
  <si>
    <t xml:space="preserve">Ground anchors</t>
  </si>
  <si>
    <t xml:space="preserve">Doc item</t>
  </si>
  <si>
    <t xml:space="preserve">In model?</t>
  </si>
  <si>
    <t xml:space="preserve">Where / decision</t>
  </si>
  <si>
    <t xml:space="preserve">Change vs the doc</t>
  </si>
  <si>
    <t xml:space="preserve">ESP32 DevKit V1 + screw-terminal breakout</t>
  </si>
  <si>
    <t xml:space="preserve">inside JB</t>
  </si>
  <si>
    <t xml:space="preserve">JB (not modeled by choice)</t>
  </si>
  <si>
    <t xml:space="preserve">MCP23017</t>
  </si>
  <si>
    <t xml:space="preserve">JB</t>
  </si>
  <si>
    <t xml:space="preserve">L298N</t>
  </si>
  <si>
    <t xml:space="preserve">Fine at 3.3 V logic; actuators see ~2 V less than 12 V.</t>
  </si>
  <si>
    <t xml:space="preserve">MOSFET driver modules</t>
  </si>
  <si>
    <t xml:space="preserve">Use logic-level (AOD4184/D4184) instead of IRF520.</t>
  </si>
  <si>
    <t xml:space="preserve">Buck converters with voltmeter</t>
  </si>
  <si>
    <t xml:space="preserve">#1 logic 5.1 V; #2 servo rail 6 V</t>
  </si>
  <si>
    <t xml:space="preserve">#2 must be &gt;= 5 A.</t>
  </si>
  <si>
    <t xml:space="preserve">Notecarrier-A + Notecard</t>
  </si>
  <si>
    <t xml:space="preserve">Phase 5; mount on a plastic wall away from the L298N</t>
  </si>
  <si>
    <t xml:space="preserve">Main junction box ~300 x 250 x 150</t>
  </si>
  <si>
    <t xml:space="preserve">Ruilogod 200x120x75</t>
  </si>
  <si>
    <t xml:space="preserve">Back of the box, outside the back panel</t>
  </si>
  <si>
    <t xml:space="preserve">Too small. Board footprints ~21,000 mm2 (with spacing) vs 22,400 mm2 floor, before gland space and wiring. Get ~250 x 200 x 100.</t>
  </si>
  <si>
    <t xml:space="preserve">Glands on the bottom face</t>
  </si>
  <si>
    <t xml:space="preserve">back face, low row</t>
  </si>
  <si>
    <t xml:space="preserve">Glands pass the back panel into the frame</t>
  </si>
  <si>
    <t xml:space="preserve">Back face is inside the panels: no rain reaches it, and cables never run outside.</t>
  </si>
  <si>
    <t xml:space="preserve">12 V LiFePO4 8 Ah</t>
  </si>
  <si>
    <t xml:space="preserve">yes (shelf)</t>
  </si>
  <si>
    <t xml:space="preserve">Battery shelf at the bottom back</t>
  </si>
  <si>
    <t xml:space="preserve">Own spot (doc's open question). Placeholder updated from 6 Ah to 8 Ah.</t>
  </si>
  <si>
    <t xml:space="preserve">Inline fuse 5 A</t>
  </si>
  <si>
    <t xml:space="preserve">yes</t>
  </si>
  <si>
    <t xml:space="preserve">Fuse 1 (7.5 A) on the battery lid + fuse 2 (5 A) in the JB</t>
  </si>
  <si>
    <t xml:space="preserve">Two fuses: one protects the cable, one is reachable.</t>
  </si>
  <si>
    <t xml:space="preserve">WAGO 221</t>
  </si>
  <si>
    <t xml:space="preserve">~5</t>
  </si>
  <si>
    <t xml:space="preserve">~10 x 221-415 needed.</t>
  </si>
  <si>
    <t xml:space="preserve">?</t>
  </si>
  <si>
    <t xml:space="preserve">JB side wall</t>
  </si>
  <si>
    <t xml:space="preserve">Recommended.</t>
  </si>
  <si>
    <t xml:space="preserve">Clear-lid IP65 vision box</t>
  </si>
  <si>
    <t xml:space="preserve">Hangs from the two reward crossbars</t>
  </si>
  <si>
    <t xml:space="preserve">Ears drilled to 5.5 mm for M5 T-nuts.</t>
  </si>
  <si>
    <t xml:space="preserve">Pi Zero 2 WH / Camera 3 / Coral</t>
  </si>
  <si>
    <t xml:space="preserve">1 each</t>
  </si>
  <si>
    <t xml:space="preserve">yes (fit-check blocks)</t>
  </si>
  <si>
    <t xml:space="preserve">Add the 22-&gt;15 pin camera cable.</t>
  </si>
  <si>
    <t xml:space="preserve">Vision box cable 4 wires (5 V, GND, TX, RX)</t>
  </si>
  <si>
    <t xml:space="preserve">Cat6, 8 conductors</t>
  </si>
  <si>
    <t xml:space="preserve">Carries 12 V + PIR + reward HX711 too; mini buck inside makes 5 V.</t>
  </si>
  <si>
    <t xml:space="preserve">Vision box: only one PG7</t>
  </si>
  <si>
    <t xml:space="preserve">3 glands</t>
  </si>
  <si>
    <t xml:space="preserve">2 x PG7 front, 1 x PG9 back</t>
  </si>
  <si>
    <t xml:space="preserve">PIR and reward load cell now land in the vision box.</t>
  </si>
  <si>
    <t xml:space="preserve">MG996R dosers</t>
  </si>
  <si>
    <t xml:space="preserve">ADDED</t>
  </si>
  <si>
    <t xml:space="preserve">On the cradles</t>
  </si>
  <si>
    <t xml:space="preserve">MG996R trapdoor</t>
  </si>
  <si>
    <t xml:space="preserve">Solenoid deadbolt</t>
  </si>
  <si>
    <t xml:space="preserve">Pit</t>
  </si>
  <si>
    <t xml:space="preserve">Add flyback diode.</t>
  </si>
  <si>
    <t xml:space="preserve">Linear actuators 50 mm</t>
  </si>
  <si>
    <t xml:space="preserve">Front posts</t>
  </si>
  <si>
    <t xml:space="preserve">50 mm stroke = 44 mm reward window.</t>
  </si>
  <si>
    <t xml:space="preserve">Load cells 1 kg</t>
  </si>
  <si>
    <t xml:space="preserve">Reward tray + pit trapdoor</t>
  </si>
  <si>
    <t xml:space="preserve">Pit cell rides the trapdoor: 10 cm service loop.</t>
  </si>
  <si>
    <t xml:space="preserve">HX711 at each load cell</t>
  </si>
  <si>
    <t xml:space="preserve">no (inside boxes)</t>
  </si>
  <si>
    <t xml:space="preserve">#1 in the vision box (99 mm leads); #2 in the JB</t>
  </si>
  <si>
    <t xml:space="preserve">Pit run is 1.2 m of shielded 4-core instead of a separate wet-zone box.</t>
  </si>
  <si>
    <t xml:space="preserve">PIR facing down into the deposit chamber</t>
  </si>
  <si>
    <t xml:space="preserve">Your PIR housing faces forward out the PIR slot</t>
  </si>
  <si>
    <t xml:space="preserve">Model kept as you built it.</t>
  </si>
  <si>
    <t xml:space="preserve">paused</t>
  </si>
  <si>
    <t xml:space="preserve">Reserved: W04 + gland hole</t>
  </si>
  <si>
    <t xml:space="preserve">One shared 6-core instead of 3 cables.</t>
  </si>
  <si>
    <t xml:space="preserve">Passive buzzer</t>
  </si>
  <si>
    <t xml:space="preserve">Inside the signal pod</t>
  </si>
  <si>
    <t xml:space="preserve">Signal LEDs 5 mm</t>
  </si>
  <si>
    <t xml:space="preserve">Signal pod, visible through the PIR slot</t>
  </si>
  <si>
    <t xml:space="preserve">No front-panel change needed.</t>
  </si>
  <si>
    <t xml:space="preserve">5 V COB strip under the reward floor</t>
  </si>
  <si>
    <t xml:space="preserve">12 V strip on pit light ring</t>
  </si>
  <si>
    <t xml:space="preserve">12 V version, switched by MOSFET.</t>
  </si>
  <si>
    <t xml:space="preserve">Servo cables need PG9+ for the plug</t>
  </si>
  <si>
    <t xml:space="preserve">no plugs through glands</t>
  </si>
  <si>
    <t xml:space="preserve">Round 3-core through multi-hole PG16</t>
  </si>
  <si>
    <t xml:space="preserve">Servo plugs mate with soldered headers outside the JB.</t>
  </si>
  <si>
    <t xml:space="preserve">Solar input (Phase 9)</t>
  </si>
  <si>
    <t xml:space="preserve">0-1</t>
  </si>
  <si>
    <t xml:space="preserve">Roof panel + controller on the shelf</t>
  </si>
  <si>
    <t xml:space="preserve">Solar no longer enters the JB.</t>
  </si>
  <si>
    <t xml:space="preserve">Reward tray load cell (open question)</t>
  </si>
  <si>
    <t xml:space="preserve">kept</t>
  </si>
  <si>
    <t xml:space="preserve">You confirmed: keep it.</t>
  </si>
  <si>
    <t xml:space="preserve">#</t>
  </si>
  <si>
    <t xml:space="preserve">Fix in Fusion</t>
  </si>
  <si>
    <t xml:space="preserve">Detail</t>
  </si>
  <si>
    <t xml:space="preserve">Swap in the new files</t>
  </si>
  <si>
    <t xml:space="preserve">Delete CrowBox_CableRoutes_BatteryShelf, CrowBox_JunctionBox, CrowBox_Panels_v2. Insert CrowBox_Wiring_v2, CrowBox_FieldModules, CrowBox_JunctionBox_v2, CrowBox_Panels_v3 (all in assembly coordinates).</t>
  </si>
  <si>
    <t xml:space="preserve">Delete 17 duplicate corner brackets</t>
  </si>
  <si>
    <t xml:space="preserve">87 bracket instances sit at 70 positions (2-5 copies at some spots, e.g. 5 at the back-right post Z 280).</t>
  </si>
  <si>
    <t xml:space="preserve">Delete duplicate pit bars</t>
  </si>
  <si>
    <t xml:space="preserve">5537T9 ':13' and ':14' copy the pit's top front/back bars; the two 150 mm verticals inside Object_Pit_v2 sit inside the 170 mm corner verticals.</t>
  </si>
  <si>
    <t xml:space="preserve">Delete the catch-bin placeholder</t>
  </si>
  <si>
    <t xml:space="preserve">The unnamed block listed as [0:1:1:171] (X -300..75, Z -409..-153).</t>
  </si>
  <si>
    <t xml:space="preserve">Trim the chute's top tab</t>
  </si>
  <si>
    <t xml:space="preserve">Pokes 4.4 mm into the back panel (Y 289.3 vs 284.9).</t>
  </si>
  <si>
    <t xml:space="preserve">Lower the PIR housing + AM312 0.8 mm</t>
  </si>
  <si>
    <t xml:space="preserve">Still floats 0.8 mm above the plate.</t>
  </si>
  <si>
    <t xml:space="preserve">Bottom plate thickness</t>
  </si>
  <si>
    <t xml:space="preserve">Model 4 mm; order 0.187in (4.75 mm). Extrude the extra 0.75 mm downward; drop the 1 mm shims.</t>
  </si>
  <si>
    <t xml:space="preserve">Gate thickness</t>
  </si>
  <si>
    <t xml:space="preserve">Model 4 mm; SCS polycarbonate is 4.5 mm (0.177in).</t>
  </si>
  <si>
    <t xml:space="preserve">Add 8 corner brackets under the roof top bars</t>
  </si>
  <si>
    <t xml:space="preserve">Junction box size</t>
  </si>
  <si>
    <t xml:space="preserve">Upsize to ~250 x 200 x 100 and keep the gland row at the same height, or accept a cramped 2-layer build.</t>
  </si>
  <si>
    <t xml:space="preserve">Screw lengths changed</t>
  </si>
  <si>
    <t xml:space="preserve">Chute bracket M5x10 (not 12), light ring M5x8 (not 10), perch M5x25 flanged (not 30): the longer ones hit the extrusion core.</t>
  </si>
  <si>
    <t xml:space="preserve">Perch rod</t>
  </si>
  <si>
    <t xml:space="preserve">1-1/4in (31.75 mm) dowel, not a 1-5/16in closet pole.</t>
  </si>
  <si>
    <t xml:space="preserve">Generic 2028 brackets</t>
  </si>
  <si>
    <t xml:space="preserve">2 mm bigger than the modeled McMaster ones: check the bay-floor corner notches (1 mm clearance).</t>
  </si>
  <si>
    <t xml:space="preserve">Reward window height</t>
  </si>
  <si>
    <t xml:space="preserve">50 mm stroke -&gt; 44 mm tall window. 100 mm stroke actuators would open it fully.</t>
  </si>
  <si>
    <t xml:space="preserve">Anchor the box</t>
  </si>
  <si>
    <t xml:space="preserve">~1.9 m tall on 2x2 legs.</t>
  </si>
  <si>
    <t xml:space="preserve">Tiny panel overlaps (ignore)</t>
  </si>
  <si>
    <t xml:space="preserve">Left and back panels overlap the posts by 0.026 mm (frame posts are offset 0.074 mm). Not real.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</si>
</sst>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\$#,##0;&quot;($&quot;#,##0\);\-"/>
    <numFmt numFmtId="167" formatCode="0"/>
    <numFmt numFmtId="168" formatCode="0.0"/>
    <numFmt numFmtId="169" formatCode="0.00"/>
    <numFmt numFmtId="170" formatCode="#,##0"/>
    <numFmt numFmtId="171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FEFEF"/>
        <bgColor rgb="FFDDE6E6"/>
      </patternFill>
    </fill>
    <fill>
      <patternFill patternType="solid">
        <fgColor rgb="FF2F4F4F"/>
        <bgColor rgb="FF555555"/>
      </patternFill>
    </fill>
    <fill>
      <patternFill patternType="solid">
        <fgColor rgb="FFDDE6E6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4F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DD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40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2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C8" s="6" t="n">
        <v>0.1</v>
      </c>
      <c r="D8" s="7" t="s">
        <v>6</v>
      </c>
      <c r="E8" s="7"/>
      <c r="F8" s="7"/>
    </row>
    <row r="9" customFormat="false" ht="15" hidden="false" customHeight="true" outlineLevel="0" collapsed="false">
      <c r="A9" s="5" t="s">
        <v>7</v>
      </c>
      <c r="C9" s="6" t="n">
        <v>0.1</v>
      </c>
      <c r="D9" s="7" t="s">
        <v>8</v>
      </c>
      <c r="E9" s="7"/>
      <c r="F9" s="7"/>
    </row>
    <row r="10" customFormat="false" ht="15" hidden="false" customHeight="true" outlineLevel="0" collapsed="false">
      <c r="A10" s="5" t="s">
        <v>9</v>
      </c>
      <c r="C10" s="6" t="n">
        <v>0.15</v>
      </c>
      <c r="D10" s="7" t="s">
        <v>10</v>
      </c>
      <c r="E10" s="7"/>
      <c r="F10" s="7"/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8" t="s">
        <v>12</v>
      </c>
      <c r="B13" s="8" t="s">
        <v>13</v>
      </c>
      <c r="C13" s="8" t="s">
        <v>14</v>
      </c>
      <c r="D13" s="8" t="s">
        <v>15</v>
      </c>
    </row>
    <row r="14" customFormat="false" ht="23.85" hidden="false" customHeight="false" outlineLevel="0" collapsed="false">
      <c r="A14" s="5" t="s">
        <v>16</v>
      </c>
      <c r="B14" s="5" t="s">
        <v>17</v>
      </c>
      <c r="C14" s="9" t="n">
        <f aca="false">SUMIF(Buy!$M$2:$M$109,"Build",Buy!$J$2:$J$109)</f>
        <v>1306.8</v>
      </c>
      <c r="D14" s="9" t="n">
        <f aca="false">SUMIF(Buy!$M$2:$M$109,"Build",Buy!$L$2:$L$109)</f>
        <v>1306.8</v>
      </c>
    </row>
    <row r="15" customFormat="false" ht="15" hidden="false" customHeight="false" outlineLevel="0" collapsed="false">
      <c r="A15" s="5" t="s">
        <v>18</v>
      </c>
      <c r="B15" s="5" t="s">
        <v>19</v>
      </c>
      <c r="C15" s="9" t="n">
        <f aca="false">SUMIF(Buy!$M$2:$M$109,"Phase 5",Buy!$J$2:$J$109)</f>
        <v>74</v>
      </c>
      <c r="D15" s="9" t="n">
        <f aca="false">SUMIF(Buy!$M$2:$M$109,"Phase 5",Buy!$L$2:$L$109)</f>
        <v>74</v>
      </c>
    </row>
    <row r="16" customFormat="false" ht="15" hidden="false" customHeight="false" outlineLevel="0" collapsed="false">
      <c r="A16" s="5" t="s">
        <v>20</v>
      </c>
      <c r="B16" s="5" t="inlineStr">
        <is>
          <t xml:space="preserve">Coral accelerator (dropped 2026-10-17)</t>
        </is>
      </c>
      <c r="C16" s="9" t="n">
        <f aca="false">SUMIF(Buy!$M$2:$M$109,"Phase 7",Buy!$J$2:$J$109)</f>
        <v>68</v>
      </c>
      <c r="D16" s="9" t="n">
        <f aca="false">SUMIF(Buy!$M$2:$M$109,"Phase 7",Buy!$L$2:$L$109)</f>
        <v>68</v>
      </c>
    </row>
    <row r="17" customFormat="false" ht="23.85" hidden="false" customHeight="false" outlineLevel="0" collapsed="false">
      <c r="A17" s="5" t="s">
        <v>22</v>
      </c>
      <c r="B17" s="5" t="s">
        <v>23</v>
      </c>
      <c r="C17" s="9" t="n">
        <f aca="false">SUMIF(Buy!$M$2:$M$109,"Phase 9",Buy!$J$2:$J$109)</f>
        <v>138.97</v>
      </c>
      <c r="D17" s="9" t="n">
        <f aca="false">SUMIF(Buy!$M$2:$M$109,"Phase 9",Buy!$L$2:$L$109)</f>
        <v>138.97</v>
      </c>
    </row>
    <row r="18" customFormat="false" ht="15" hidden="false" customHeight="false" outlineLevel="0" collapsed="false">
      <c r="A18" s="5" t="s">
        <v>24</v>
      </c>
      <c r="B18" s="5" t="s">
        <v>25</v>
      </c>
      <c r="C18" s="9" t="n">
        <f aca="false">SUMIF(Buy!$M$2:$M$109,"Paused",Buy!$J$2:$J$109)</f>
        <v>18</v>
      </c>
      <c r="D18" s="9" t="n">
        <f aca="false">SUMIF(Buy!$M$2:$M$109,"Paused",Buy!$L$2:$L$109)</f>
        <v>18</v>
      </c>
    </row>
    <row r="19" customFormat="false" ht="15" hidden="false" customHeight="false" outlineLevel="0" collapsed="false">
      <c r="A19" s="8" t="s">
        <v>26</v>
      </c>
      <c r="B19" s="10" t="s">
        <v>27</v>
      </c>
      <c r="C19" s="11" t="n">
        <f aca="false">SUM(C14:C18)</f>
        <v>1605.77</v>
      </c>
      <c r="D19" s="11" t="n">
        <f aca="false">SUM(D14:D18)</f>
        <v>1605.77</v>
      </c>
    </row>
    <row r="20" customFormat="false" ht="15" hidden="false" customHeight="false" outlineLevel="0" collapsed="false">
      <c r="A20" s="5" t="s">
        <v>28</v>
      </c>
      <c r="B20" s="5" t="s">
        <v>29</v>
      </c>
      <c r="C20" s="12" t="n">
        <f aca="false">Tooling!C23</f>
        <v>184</v>
      </c>
      <c r="D20" s="12" t="n">
        <f aca="false">Tooling!E23</f>
        <v>184</v>
      </c>
    </row>
    <row r="21" customFormat="false" ht="15" hidden="false" customHeight="false" outlineLevel="0" collapsed="false">
      <c r="A21" s="5" t="s">
        <v>30</v>
      </c>
      <c r="B21" s="5" t="s">
        <v>31</v>
      </c>
      <c r="C21" s="9" t="n">
        <f aca="false">SUMIF(Buy!$M$2:$M$109,"Option",Buy!$J$2:$J$109)</f>
        <v>160</v>
      </c>
    </row>
    <row r="22" customFormat="false" ht="23.85" hidden="false" customHeight="false" outlineLevel="0" collapsed="false">
      <c r="A22" s="5" t="s">
        <v>32</v>
      </c>
      <c r="B22" s="5" t="s">
        <v>33</v>
      </c>
      <c r="C22" s="9" t="n">
        <f aca="false">78*5.5-Buy!J3</f>
        <v>385</v>
      </c>
      <c r="F22" s="7" t="s">
        <v>34</v>
      </c>
    </row>
    <row r="24" customFormat="false" ht="15" hidden="false" customHeight="false" outlineLevel="0" collapsed="false">
      <c r="A24" s="13" t="s">
        <v>35</v>
      </c>
    </row>
    <row r="25" customFormat="false" ht="15" hidden="false" customHeight="false" outlineLevel="0" collapsed="false">
      <c r="A25" s="8" t="s">
        <v>36</v>
      </c>
      <c r="B25" s="8"/>
      <c r="C25" s="8" t="s">
        <v>14</v>
      </c>
      <c r="D25" s="8" t="s">
        <v>15</v>
      </c>
    </row>
    <row r="26" customFormat="false" ht="15" hidden="false" customHeight="false" outlineLevel="0" collapsed="false">
      <c r="A26" s="5" t="s">
        <v>37</v>
      </c>
      <c r="C26" s="9" t="n">
        <f aca="false">SUMIFS(Buy!$J$2:$J$109,Buy!$B$2:$B$109,"Frame",Buy!$M$2:$M$109,"Build")</f>
        <v>195.8</v>
      </c>
      <c r="D26" s="9" t="n">
        <f aca="false">SUMIFS(Buy!$L$2:$L$109,Buy!$B$2:$B$109,"Frame",Buy!$M$2:$M$109,"Build")</f>
        <v>195.8</v>
      </c>
    </row>
    <row r="27" customFormat="false" ht="15" hidden="false" customHeight="false" outlineLevel="0" collapsed="false">
      <c r="A27" s="5" t="s">
        <v>38</v>
      </c>
      <c r="C27" s="9" t="n">
        <f aca="false">SUMIFS(Buy!$J$2:$J$109,Buy!$B$2:$B$109,"Fasteners",Buy!$M$2:$M$109,"Build")</f>
        <v>176</v>
      </c>
      <c r="D27" s="9" t="n">
        <f aca="false">SUMIFS(Buy!$L$2:$L$109,Buy!$B$2:$B$109,"Fasteners",Buy!$M$2:$M$109,"Build")</f>
        <v>176</v>
      </c>
    </row>
    <row r="28" customFormat="false" ht="15" hidden="false" customHeight="false" outlineLevel="0" collapsed="false">
      <c r="A28" s="5" t="s">
        <v>39</v>
      </c>
      <c r="C28" s="9" t="n">
        <f aca="false">SUMIFS(Buy!$J$2:$J$109,Buy!$B$2:$B$109,"Wood &amp; sheet",Buy!$M$2:$M$109,"Build")</f>
        <v>124</v>
      </c>
      <c r="D28" s="9" t="n">
        <f aca="false">SUMIFS(Buy!$L$2:$L$109,Buy!$B$2:$B$109,"Wood &amp; sheet",Buy!$M$2:$M$109,"Build")</f>
        <v>124</v>
      </c>
    </row>
    <row r="29" customFormat="false" ht="15" hidden="false" customHeight="false" outlineLevel="0" collapsed="false">
      <c r="A29" s="5" t="s">
        <v>40</v>
      </c>
      <c r="C29" s="9" t="n">
        <f aca="false">SUMIFS(Buy!$J$2:$J$109,Buy!$B$2:$B$109,"Cut service",Buy!$M$2:$M$109,"Build")</f>
        <v>94</v>
      </c>
      <c r="D29" s="9" t="n">
        <f aca="false">SUMIFS(Buy!$L$2:$L$109,Buy!$B$2:$B$109,"Cut service",Buy!$M$2:$M$109,"Build")</f>
        <v>94</v>
      </c>
    </row>
    <row r="30" customFormat="false" ht="15" hidden="false" customHeight="false" outlineLevel="0" collapsed="false">
      <c r="A30" s="5" t="s">
        <v>41</v>
      </c>
      <c r="C30" s="9" t="n">
        <f aca="false">SUMIFS(Buy!$J$2:$J$109,Buy!$B$2:$B$109,"Junction box",Buy!$M$2:$M$109,"Build")</f>
        <v>140</v>
      </c>
      <c r="D30" s="9" t="n">
        <f aca="false">SUMIFS(Buy!$L$2:$L$109,Buy!$B$2:$B$109,"Junction box",Buy!$M$2:$M$109,"Build")</f>
        <v>140</v>
      </c>
    </row>
    <row r="31" customFormat="false" ht="15" hidden="false" customHeight="false" outlineLevel="0" collapsed="false">
      <c r="A31" s="5" t="s">
        <v>42</v>
      </c>
      <c r="C31" s="9" t="n">
        <f aca="false">SUMIFS(Buy!$J$2:$J$109,Buy!$B$2:$B$109,"Vision box",Buy!$M$2:$M$109,"Build")</f>
        <v>82</v>
      </c>
      <c r="D31" s="9" t="n">
        <f aca="false">SUMIFS(Buy!$L$2:$L$109,Buy!$B$2:$B$109,"Vision box",Buy!$M$2:$M$109,"Build")</f>
        <v>82</v>
      </c>
    </row>
    <row r="32" customFormat="false" ht="15" hidden="false" customHeight="false" outlineLevel="0" collapsed="false">
      <c r="A32" s="5" t="s">
        <v>43</v>
      </c>
      <c r="C32" s="9" t="n">
        <f aca="false">SUMIFS(Buy!$J$2:$J$109,Buy!$B$2:$B$109,"Field modules",Buy!$M$2:$M$109,"Build")</f>
        <v>160</v>
      </c>
      <c r="D32" s="9" t="n">
        <f aca="false">SUMIFS(Buy!$L$2:$L$109,Buy!$B$2:$B$109,"Field modules",Buy!$M$2:$M$109,"Build")</f>
        <v>160</v>
      </c>
    </row>
    <row r="33" customFormat="false" ht="15" hidden="false" customHeight="false" outlineLevel="0" collapsed="false">
      <c r="A33" s="5" t="s">
        <v>44</v>
      </c>
      <c r="C33" s="9" t="n">
        <f aca="false">SUMIFS(Buy!$J$2:$J$109,Buy!$B$2:$B$109,"Power",Buy!$M$2:$M$109,"Build")</f>
        <v>68</v>
      </c>
      <c r="D33" s="9" t="n">
        <f aca="false">SUMIFS(Buy!$L$2:$L$109,Buy!$B$2:$B$109,"Power",Buy!$M$2:$M$109,"Build")</f>
        <v>68</v>
      </c>
    </row>
    <row r="34" customFormat="false" ht="15" hidden="false" customHeight="false" outlineLevel="0" collapsed="false">
      <c r="A34" s="5" t="s">
        <v>45</v>
      </c>
      <c r="C34" s="9" t="n">
        <f aca="false">SUMIFS(Buy!$J$2:$J$109,Buy!$B$2:$B$109,"Wiring",Buy!$M$2:$M$109,"Build")</f>
        <v>205</v>
      </c>
      <c r="D34" s="9" t="n">
        <f aca="false">SUMIFS(Buy!$L$2:$L$109,Buy!$B$2:$B$109,"Wiring",Buy!$M$2:$M$109,"Build")</f>
        <v>205</v>
      </c>
    </row>
    <row r="35" customFormat="false" ht="15" hidden="false" customHeight="false" outlineLevel="0" collapsed="false">
      <c r="A35" s="5" t="s">
        <v>46</v>
      </c>
      <c r="C35" s="9" t="n">
        <f aca="false">SUMIFS(Buy!$J$2:$J$109,Buy!$B$2:$B$109,"Filament",Buy!$M$2:$M$109,"Build")</f>
        <v>44</v>
      </c>
      <c r="D35" s="9" t="n">
        <f aca="false">SUMIFS(Buy!$L$2:$L$109,Buy!$B$2:$B$109,"Filament",Buy!$M$2:$M$109,"Build")</f>
        <v>44</v>
      </c>
    </row>
    <row r="36" customFormat="false" ht="15" hidden="false" customHeight="false" outlineLevel="0" collapsed="false">
      <c r="A36" s="5" t="s">
        <v>47</v>
      </c>
      <c r="C36" s="9" t="n">
        <f aca="false">SUMIFS(Buy!$J$2:$J$109,Buy!$B$2:$B$109,"Install",Buy!$M$2:$M$109,"Build")</f>
        <v>18</v>
      </c>
      <c r="D36" s="9" t="n">
        <f aca="false">SUMIFS(Buy!$L$2:$L$109,Buy!$B$2:$B$109,"Install",Buy!$M$2:$M$109,"Build")</f>
        <v>18</v>
      </c>
    </row>
    <row r="37" customFormat="false" ht="15" hidden="false" customHeight="false" outlineLevel="0" collapsed="false">
      <c r="A37" s="8" t="s">
        <v>48</v>
      </c>
      <c r="C37" s="11" t="n">
        <f aca="false">SUM(C26:C36)</f>
        <v>1306.8</v>
      </c>
      <c r="D37" s="11" t="n">
        <f aca="false">SUM(D26:D36)</f>
        <v>1306.8</v>
      </c>
    </row>
    <row r="39" customFormat="false" ht="15" hidden="false" customHeight="false" outlineLevel="0" collapsed="false">
      <c r="A39" s="13" t="s">
        <v>49</v>
      </c>
    </row>
    <row r="40" customFormat="false" ht="15" hidden="false" customHeight="true" outlineLevel="0" collapsed="false">
      <c r="A40" s="5" t="s">
        <v>50</v>
      </c>
      <c r="C40" s="14" t="n">
        <f aca="false">Cut!E32</f>
        <v>35</v>
      </c>
      <c r="D40" s="7" t="s">
        <v>51</v>
      </c>
      <c r="E40" s="7"/>
      <c r="F40" s="7"/>
    </row>
    <row r="41" customFormat="false" ht="15" hidden="false" customHeight="true" outlineLevel="0" collapsed="false">
      <c r="A41" s="5" t="s">
        <v>52</v>
      </c>
      <c r="C41" s="14" t="n">
        <f aca="false">Buy!E3</f>
        <v>78</v>
      </c>
      <c r="D41" s="7" t="s">
        <v>53</v>
      </c>
      <c r="E41" s="7"/>
      <c r="F41" s="7"/>
    </row>
    <row r="42" customFormat="false" ht="15" hidden="false" customHeight="true" outlineLevel="0" collapsed="false">
      <c r="A42" s="5" t="s">
        <v>54</v>
      </c>
      <c r="C42" s="14" t="n">
        <f aca="false">Buy!E4</f>
        <v>150</v>
      </c>
      <c r="D42" s="7" t="s">
        <v>55</v>
      </c>
      <c r="E42" s="7"/>
      <c r="F42" s="7"/>
    </row>
    <row r="43" customFormat="false" ht="15" hidden="false" customHeight="true" outlineLevel="0" collapsed="false">
      <c r="A43" s="5" t="s">
        <v>56</v>
      </c>
      <c r="C43" s="14" t="n">
        <f aca="false">SUMIF(Fasteners!$A$2:$A$41,"M5x*",Fasteners!$C$2:$C$41)</f>
        <v>152</v>
      </c>
      <c r="D43" s="7" t="s">
        <v>57</v>
      </c>
      <c r="E43" s="7"/>
      <c r="F43" s="7"/>
    </row>
    <row r="44" customFormat="false" ht="15" hidden="false" customHeight="true" outlineLevel="0" collapsed="false">
      <c r="A44" s="5" t="s">
        <v>58</v>
      </c>
      <c r="C44" s="14" t="n">
        <f aca="false">COUNTA(Wiring!A2:A20)</f>
        <v>19</v>
      </c>
      <c r="D44" s="7" t="s">
        <v>59</v>
      </c>
      <c r="E44" s="7"/>
      <c r="F44" s="7"/>
    </row>
    <row r="45" customFormat="false" ht="15" hidden="false" customHeight="true" outlineLevel="0" collapsed="false">
      <c r="A45" s="5" t="s">
        <v>60</v>
      </c>
      <c r="C45" s="14" t="n">
        <f aca="false">SUM(Print!C2:C14)</f>
        <v>17</v>
      </c>
      <c r="D45" s="7" t="s">
        <v>61</v>
      </c>
      <c r="E45" s="7"/>
      <c r="F45" s="7"/>
    </row>
    <row r="47" customFormat="false" ht="15" hidden="false" customHeight="false" outlineLevel="0" collapsed="false">
      <c r="A47" s="13" t="s">
        <v>62</v>
      </c>
    </row>
    <row r="48" customFormat="false" ht="15" hidden="false" customHeight="true" outlineLevel="0" collapsed="false">
      <c r="A48" s="15" t="s">
        <v>63</v>
      </c>
      <c r="B48" s="5" t="s">
        <v>64</v>
      </c>
      <c r="C48" s="5"/>
      <c r="D48" s="5"/>
      <c r="E48" s="5"/>
      <c r="F48" s="5"/>
    </row>
    <row r="49" customFormat="false" ht="15" hidden="false" customHeight="true" outlineLevel="0" collapsed="false">
      <c r="A49" s="15" t="s">
        <v>65</v>
      </c>
      <c r="B49" s="5" t="s">
        <v>66</v>
      </c>
      <c r="C49" s="5"/>
      <c r="D49" s="5"/>
      <c r="E49" s="5"/>
      <c r="F49" s="5"/>
    </row>
    <row r="50" customFormat="false" ht="15" hidden="false" customHeight="true" outlineLevel="0" collapsed="false">
      <c r="A50" s="15" t="s">
        <v>67</v>
      </c>
      <c r="B50" s="5" t="s">
        <v>68</v>
      </c>
      <c r="C50" s="5"/>
      <c r="D50" s="5"/>
      <c r="E50" s="5"/>
      <c r="F50" s="5"/>
    </row>
    <row r="51" customFormat="false" ht="15" hidden="false" customHeight="true" outlineLevel="0" collapsed="false">
      <c r="A51" s="15" t="s">
        <v>38</v>
      </c>
      <c r="B51" s="5" t="s">
        <v>69</v>
      </c>
      <c r="C51" s="5"/>
      <c r="D51" s="5"/>
      <c r="E51" s="5"/>
      <c r="F51" s="5"/>
    </row>
    <row r="52" customFormat="false" ht="15" hidden="false" customHeight="true" outlineLevel="0" collapsed="false">
      <c r="A52" s="15" t="s">
        <v>45</v>
      </c>
      <c r="B52" s="5" t="s">
        <v>70</v>
      </c>
      <c r="C52" s="5"/>
      <c r="D52" s="5"/>
      <c r="E52" s="5"/>
      <c r="F52" s="5"/>
    </row>
    <row r="53" customFormat="false" ht="15" hidden="false" customHeight="true" outlineLevel="0" collapsed="false">
      <c r="A53" s="15" t="s">
        <v>71</v>
      </c>
      <c r="B53" s="5" t="s">
        <v>72</v>
      </c>
      <c r="C53" s="5"/>
      <c r="D53" s="5"/>
      <c r="E53" s="5"/>
      <c r="F53" s="5"/>
    </row>
    <row r="54" customFormat="false" ht="15" hidden="false" customHeight="true" outlineLevel="0" collapsed="false">
      <c r="A54" s="15" t="s">
        <v>73</v>
      </c>
      <c r="B54" s="5" t="s">
        <v>74</v>
      </c>
      <c r="C54" s="5"/>
      <c r="D54" s="5"/>
      <c r="E54" s="5"/>
      <c r="F54" s="5"/>
    </row>
    <row r="55" customFormat="false" ht="15" hidden="false" customHeight="true" outlineLevel="0" collapsed="false">
      <c r="A55" s="15" t="s">
        <v>75</v>
      </c>
      <c r="B55" s="5" t="s">
        <v>76</v>
      </c>
      <c r="C55" s="5"/>
      <c r="D55" s="5"/>
      <c r="E55" s="5"/>
      <c r="F55" s="5"/>
    </row>
    <row r="56" customFormat="false" ht="15" hidden="false" customHeight="true" outlineLevel="0" collapsed="false">
      <c r="A56" s="15" t="s">
        <v>77</v>
      </c>
      <c r="B56" s="5" t="s">
        <v>78</v>
      </c>
      <c r="C56" s="5"/>
      <c r="D56" s="5"/>
      <c r="E56" s="5"/>
      <c r="F56" s="5"/>
    </row>
    <row r="57" customFormat="false" ht="15" hidden="false" customHeight="true" outlineLevel="0" collapsed="false">
      <c r="A57" s="15" t="s">
        <v>79</v>
      </c>
      <c r="B57" s="5" t="s">
        <v>80</v>
      </c>
      <c r="C57" s="5"/>
      <c r="D57" s="5"/>
      <c r="E57" s="5"/>
      <c r="F57" s="5"/>
    </row>
  </sheetData>
  <mergeCells count="20">
    <mergeCell ref="A5:F5"/>
    <mergeCell ref="D8:F8"/>
    <mergeCell ref="D9:F9"/>
    <mergeCell ref="D10:F10"/>
    <mergeCell ref="D40:F40"/>
    <mergeCell ref="D41:F41"/>
    <mergeCell ref="D42:F42"/>
    <mergeCell ref="D43:F43"/>
    <mergeCell ref="D44:F44"/>
    <mergeCell ref="D45:F45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5" min="5" style="0" width="58"/>
  </cols>
  <sheetData>
    <row r="1" customFormat="false" ht="30" hidden="false" customHeight="true" outlineLevel="0" collapsed="false">
      <c r="A1" s="16" t="s">
        <v>81</v>
      </c>
      <c r="B1" s="16" t="s">
        <v>82</v>
      </c>
      <c r="C1" s="16" t="s">
        <v>83</v>
      </c>
      <c r="D1" s="16" t="s">
        <v>84</v>
      </c>
      <c r="E1" s="16" t="s">
        <v>85</v>
      </c>
    </row>
    <row r="2" customFormat="false" ht="15" hidden="false" customHeight="false" outlineLevel="0" collapsed="false">
      <c r="A2" s="5" t="s">
        <v>86</v>
      </c>
      <c r="B2" s="5" t="s">
        <v>87</v>
      </c>
      <c r="C2" s="17" t="n">
        <v>4</v>
      </c>
      <c r="D2" s="5" t="s">
        <v>88</v>
      </c>
      <c r="E2" s="5" t="s">
        <v>89</v>
      </c>
    </row>
    <row r="3" customFormat="false" ht="23.85" hidden="false" customHeight="false" outlineLevel="0" collapsed="false">
      <c r="A3" s="5" t="s">
        <v>86</v>
      </c>
      <c r="B3" s="5" t="s">
        <v>90</v>
      </c>
      <c r="C3" s="17" t="n">
        <v>4</v>
      </c>
      <c r="D3" s="5" t="s">
        <v>88</v>
      </c>
      <c r="E3" s="5" t="s">
        <v>91</v>
      </c>
    </row>
    <row r="4" customFormat="false" ht="15" hidden="false" customHeight="false" outlineLevel="0" collapsed="false">
      <c r="A4" s="5" t="s">
        <v>92</v>
      </c>
      <c r="B4" s="5" t="s">
        <v>93</v>
      </c>
      <c r="C4" s="17" t="n">
        <v>6</v>
      </c>
      <c r="D4" s="5" t="s">
        <v>88</v>
      </c>
      <c r="E4" s="5" t="s">
        <v>94</v>
      </c>
    </row>
    <row r="5" customFormat="false" ht="15" hidden="false" customHeight="false" outlineLevel="0" collapsed="false">
      <c r="A5" s="5" t="s">
        <v>92</v>
      </c>
      <c r="B5" s="5" t="s">
        <v>95</v>
      </c>
      <c r="C5" s="17" t="n">
        <v>3</v>
      </c>
      <c r="D5" s="5" t="s">
        <v>88</v>
      </c>
      <c r="E5" s="5" t="s">
        <v>96</v>
      </c>
    </row>
    <row r="6" customFormat="false" ht="15" hidden="false" customHeight="false" outlineLevel="0" collapsed="false">
      <c r="A6" s="5" t="s">
        <v>92</v>
      </c>
      <c r="B6" s="5" t="s">
        <v>97</v>
      </c>
      <c r="C6" s="17" t="n">
        <v>4</v>
      </c>
      <c r="D6" s="5" t="s">
        <v>88</v>
      </c>
      <c r="E6" s="5" t="s">
        <v>98</v>
      </c>
    </row>
    <row r="7" customFormat="false" ht="23.85" hidden="false" customHeight="false" outlineLevel="0" collapsed="false">
      <c r="A7" s="5" t="s">
        <v>92</v>
      </c>
      <c r="B7" s="5" t="s">
        <v>99</v>
      </c>
      <c r="C7" s="17" t="n">
        <v>4</v>
      </c>
      <c r="D7" s="5" t="s">
        <v>100</v>
      </c>
      <c r="E7" s="5"/>
    </row>
    <row r="8" customFormat="false" ht="15" hidden="false" customHeight="false" outlineLevel="0" collapsed="false">
      <c r="A8" s="5" t="s">
        <v>101</v>
      </c>
      <c r="B8" s="5" t="s">
        <v>102</v>
      </c>
      <c r="C8" s="17" t="n">
        <v>32</v>
      </c>
      <c r="D8" s="5" t="s">
        <v>88</v>
      </c>
      <c r="E8" s="5" t="s">
        <v>103</v>
      </c>
    </row>
    <row r="9" customFormat="false" ht="15" hidden="false" customHeight="false" outlineLevel="0" collapsed="false">
      <c r="A9" s="5" t="s">
        <v>101</v>
      </c>
      <c r="B9" s="5" t="s">
        <v>104</v>
      </c>
      <c r="C9" s="17" t="n">
        <v>20</v>
      </c>
      <c r="D9" s="5" t="s">
        <v>88</v>
      </c>
      <c r="E9" s="5" t="s">
        <v>103</v>
      </c>
    </row>
    <row r="10" customFormat="false" ht="15" hidden="false" customHeight="false" outlineLevel="0" collapsed="false">
      <c r="A10" s="5" t="s">
        <v>101</v>
      </c>
      <c r="B10" s="5" t="s">
        <v>105</v>
      </c>
      <c r="C10" s="17" t="n">
        <v>11</v>
      </c>
      <c r="D10" s="5" t="s">
        <v>88</v>
      </c>
      <c r="E10" s="5" t="s">
        <v>103</v>
      </c>
    </row>
    <row r="11" customFormat="false" ht="15" hidden="false" customHeight="false" outlineLevel="0" collapsed="false">
      <c r="A11" s="5" t="s">
        <v>101</v>
      </c>
      <c r="B11" s="5" t="s">
        <v>106</v>
      </c>
      <c r="C11" s="17" t="n">
        <v>13</v>
      </c>
      <c r="D11" s="5" t="s">
        <v>88</v>
      </c>
      <c r="E11" s="5" t="s">
        <v>103</v>
      </c>
    </row>
    <row r="12" customFormat="false" ht="15" hidden="false" customHeight="false" outlineLevel="0" collapsed="false">
      <c r="A12" s="5" t="s">
        <v>101</v>
      </c>
      <c r="B12" s="5" t="s">
        <v>107</v>
      </c>
      <c r="C12" s="17" t="n">
        <v>4</v>
      </c>
      <c r="D12" s="5" t="s">
        <v>88</v>
      </c>
      <c r="E12" s="5" t="s">
        <v>103</v>
      </c>
    </row>
    <row r="13" customFormat="false" ht="15" hidden="false" customHeight="false" outlineLevel="0" collapsed="false">
      <c r="A13" s="5" t="s">
        <v>101</v>
      </c>
      <c r="B13" s="5" t="s">
        <v>108</v>
      </c>
      <c r="C13" s="17" t="n">
        <v>2</v>
      </c>
      <c r="D13" s="5" t="s">
        <v>88</v>
      </c>
      <c r="E13" s="5" t="s">
        <v>109</v>
      </c>
    </row>
    <row r="14" customFormat="false" ht="23.85" hidden="false" customHeight="false" outlineLevel="0" collapsed="false">
      <c r="A14" s="5" t="s">
        <v>110</v>
      </c>
      <c r="B14" s="5" t="s">
        <v>111</v>
      </c>
      <c r="C14" s="17" t="n">
        <v>14</v>
      </c>
      <c r="D14" s="5" t="s">
        <v>88</v>
      </c>
      <c r="E14" s="5" t="s">
        <v>112</v>
      </c>
    </row>
    <row r="15" customFormat="false" ht="15" hidden="false" customHeight="false" outlineLevel="0" collapsed="false">
      <c r="A15" s="5" t="s">
        <v>110</v>
      </c>
      <c r="B15" s="5" t="s">
        <v>113</v>
      </c>
      <c r="C15" s="17" t="n">
        <v>4</v>
      </c>
      <c r="D15" s="5" t="s">
        <v>88</v>
      </c>
      <c r="E15" s="5" t="s">
        <v>114</v>
      </c>
    </row>
    <row r="16" customFormat="false" ht="23.85" hidden="false" customHeight="false" outlineLevel="0" collapsed="false">
      <c r="A16" s="5" t="s">
        <v>110</v>
      </c>
      <c r="B16" s="5" t="s">
        <v>115</v>
      </c>
      <c r="C16" s="17" t="n">
        <v>1</v>
      </c>
      <c r="D16" s="5" t="s">
        <v>88</v>
      </c>
      <c r="E16" s="5" t="s">
        <v>116</v>
      </c>
    </row>
    <row r="17" customFormat="false" ht="15" hidden="false" customHeight="false" outlineLevel="0" collapsed="false">
      <c r="A17" s="5" t="s">
        <v>110</v>
      </c>
      <c r="B17" s="5" t="s">
        <v>117</v>
      </c>
      <c r="C17" s="17" t="n">
        <v>2</v>
      </c>
      <c r="D17" s="5" t="s">
        <v>88</v>
      </c>
      <c r="E17" s="5" t="s">
        <v>118</v>
      </c>
    </row>
    <row r="18" customFormat="false" ht="15" hidden="false" customHeight="false" outlineLevel="0" collapsed="false">
      <c r="A18" s="5" t="s">
        <v>110</v>
      </c>
      <c r="B18" s="5" t="s">
        <v>119</v>
      </c>
      <c r="C18" s="17" t="n">
        <v>2</v>
      </c>
      <c r="D18" s="5" t="s">
        <v>120</v>
      </c>
      <c r="E18" s="5" t="s">
        <v>121</v>
      </c>
    </row>
    <row r="19" customFormat="false" ht="23.85" hidden="false" customHeight="false" outlineLevel="0" collapsed="false">
      <c r="A19" s="5" t="s">
        <v>122</v>
      </c>
      <c r="B19" s="5" t="s">
        <v>123</v>
      </c>
      <c r="C19" s="17" t="n">
        <v>2</v>
      </c>
      <c r="D19" s="5" t="s">
        <v>124</v>
      </c>
      <c r="E19" s="5" t="s">
        <v>125</v>
      </c>
    </row>
    <row r="20" customFormat="false" ht="15" hidden="false" customHeight="false" outlineLevel="0" collapsed="false">
      <c r="A20" s="5" t="s">
        <v>126</v>
      </c>
      <c r="B20" s="5" t="s">
        <v>127</v>
      </c>
      <c r="C20" s="17" t="n">
        <v>4</v>
      </c>
      <c r="D20" s="5" t="s">
        <v>88</v>
      </c>
      <c r="E20" s="5" t="s">
        <v>128</v>
      </c>
    </row>
    <row r="21" customFormat="false" ht="15" hidden="false" customHeight="false" outlineLevel="0" collapsed="false">
      <c r="A21" s="5" t="s">
        <v>129</v>
      </c>
      <c r="B21" s="5" t="s">
        <v>130</v>
      </c>
      <c r="C21" s="17" t="n">
        <v>12</v>
      </c>
      <c r="D21" s="5" t="s">
        <v>88</v>
      </c>
      <c r="E21" s="5" t="s">
        <v>131</v>
      </c>
    </row>
    <row r="22" customFormat="false" ht="15" hidden="false" customHeight="false" outlineLevel="0" collapsed="false">
      <c r="A22" s="5" t="s">
        <v>132</v>
      </c>
      <c r="B22" s="5" t="s">
        <v>133</v>
      </c>
      <c r="C22" s="17" t="n">
        <v>4</v>
      </c>
      <c r="D22" s="5" t="s">
        <v>134</v>
      </c>
      <c r="E22" s="5" t="s">
        <v>135</v>
      </c>
    </row>
    <row r="23" customFormat="false" ht="15" hidden="false" customHeight="false" outlineLevel="0" collapsed="false">
      <c r="A23" s="5" t="s">
        <v>88</v>
      </c>
      <c r="B23" s="5" t="s">
        <v>136</v>
      </c>
      <c r="C23" s="17" t="n">
        <v>142</v>
      </c>
      <c r="D23" s="5" t="s">
        <v>137</v>
      </c>
      <c r="E23" s="5" t="s">
        <v>138</v>
      </c>
    </row>
    <row r="24" customFormat="false" ht="23.85" hidden="false" customHeight="false" outlineLevel="0" collapsed="false">
      <c r="A24" s="5" t="s">
        <v>88</v>
      </c>
      <c r="B24" s="5" t="s">
        <v>139</v>
      </c>
      <c r="C24" s="17" t="n">
        <v>8</v>
      </c>
      <c r="D24" s="5" t="s">
        <v>137</v>
      </c>
      <c r="E24" s="5" t="s">
        <v>140</v>
      </c>
    </row>
    <row r="25" customFormat="false" ht="15" hidden="false" customHeight="false" outlineLevel="0" collapsed="false">
      <c r="A25" s="5" t="s">
        <v>141</v>
      </c>
      <c r="B25" s="5" t="s">
        <v>142</v>
      </c>
      <c r="C25" s="17" t="n">
        <v>104</v>
      </c>
      <c r="D25" s="5" t="s">
        <v>137</v>
      </c>
      <c r="E25" s="5" t="s">
        <v>143</v>
      </c>
    </row>
    <row r="26" customFormat="false" ht="15" hidden="false" customHeight="false" outlineLevel="0" collapsed="false">
      <c r="A26" s="5" t="s">
        <v>144</v>
      </c>
      <c r="B26" s="5" t="s">
        <v>145</v>
      </c>
      <c r="C26" s="17" t="n">
        <v>20</v>
      </c>
      <c r="D26" s="5" t="s">
        <v>137</v>
      </c>
      <c r="E26" s="5" t="s">
        <v>146</v>
      </c>
    </row>
    <row r="27" customFormat="false" ht="15" hidden="false" customHeight="false" outlineLevel="0" collapsed="false">
      <c r="A27" s="5" t="s">
        <v>134</v>
      </c>
      <c r="B27" s="5" t="s">
        <v>147</v>
      </c>
      <c r="C27" s="17" t="n">
        <v>6</v>
      </c>
      <c r="D27" s="5" t="s">
        <v>137</v>
      </c>
      <c r="E27" s="5"/>
    </row>
    <row r="28" customFormat="false" ht="15" hidden="false" customHeight="false" outlineLevel="0" collapsed="false">
      <c r="A28" s="5" t="s">
        <v>148</v>
      </c>
      <c r="B28" s="5" t="s">
        <v>99</v>
      </c>
      <c r="C28" s="17" t="n">
        <v>4</v>
      </c>
      <c r="D28" s="5" t="s">
        <v>137</v>
      </c>
      <c r="E28" s="5" t="s">
        <v>149</v>
      </c>
    </row>
    <row r="29" customFormat="false" ht="15" hidden="false" customHeight="false" outlineLevel="0" collapsed="false">
      <c r="A29" s="5" t="s">
        <v>150</v>
      </c>
      <c r="B29" s="5" t="s">
        <v>151</v>
      </c>
      <c r="C29" s="17" t="n">
        <v>18</v>
      </c>
      <c r="D29" s="5" t="s">
        <v>137</v>
      </c>
      <c r="E29" s="5" t="s">
        <v>152</v>
      </c>
    </row>
    <row r="30" customFormat="false" ht="23.85" hidden="false" customHeight="false" outlineLevel="0" collapsed="false">
      <c r="A30" s="5" t="s">
        <v>153</v>
      </c>
      <c r="B30" s="5" t="s">
        <v>154</v>
      </c>
      <c r="C30" s="17" t="n">
        <v>2</v>
      </c>
      <c r="D30" s="5" t="s">
        <v>155</v>
      </c>
      <c r="E30" s="5" t="s">
        <v>156</v>
      </c>
    </row>
    <row r="31" customFormat="false" ht="15" hidden="false" customHeight="false" outlineLevel="0" collapsed="false">
      <c r="A31" s="5" t="s">
        <v>153</v>
      </c>
      <c r="B31" s="5" t="s">
        <v>157</v>
      </c>
      <c r="C31" s="17" t="n">
        <v>2</v>
      </c>
      <c r="D31" s="5" t="s">
        <v>158</v>
      </c>
      <c r="E31" s="5" t="s">
        <v>159</v>
      </c>
    </row>
    <row r="32" customFormat="false" ht="15" hidden="false" customHeight="false" outlineLevel="0" collapsed="false">
      <c r="A32" s="5" t="s">
        <v>160</v>
      </c>
      <c r="B32" s="5" t="s">
        <v>161</v>
      </c>
      <c r="C32" s="17" t="n">
        <v>2</v>
      </c>
      <c r="D32" s="5" t="s">
        <v>155</v>
      </c>
      <c r="E32" s="5" t="s">
        <v>162</v>
      </c>
    </row>
    <row r="33" customFormat="false" ht="15" hidden="false" customHeight="false" outlineLevel="0" collapsed="false">
      <c r="A33" s="5" t="s">
        <v>160</v>
      </c>
      <c r="B33" s="5" t="s">
        <v>163</v>
      </c>
      <c r="C33" s="17" t="n">
        <v>6</v>
      </c>
      <c r="D33" s="5" t="s">
        <v>158</v>
      </c>
      <c r="E33" s="5" t="s">
        <v>164</v>
      </c>
    </row>
    <row r="34" customFormat="false" ht="15" hidden="false" customHeight="false" outlineLevel="0" collapsed="false">
      <c r="A34" s="5" t="s">
        <v>158</v>
      </c>
      <c r="B34" s="5" t="s">
        <v>165</v>
      </c>
      <c r="C34" s="17" t="n">
        <v>8</v>
      </c>
      <c r="D34" s="5" t="s">
        <v>137</v>
      </c>
      <c r="E34" s="5"/>
    </row>
    <row r="35" customFormat="false" ht="15" hidden="false" customHeight="false" outlineLevel="0" collapsed="false">
      <c r="A35" s="5" t="s">
        <v>166</v>
      </c>
      <c r="B35" s="5" t="s">
        <v>167</v>
      </c>
      <c r="C35" s="17" t="n">
        <v>20</v>
      </c>
      <c r="D35" s="5" t="s">
        <v>137</v>
      </c>
      <c r="E35" s="5"/>
    </row>
    <row r="36" customFormat="false" ht="15" hidden="false" customHeight="false" outlineLevel="0" collapsed="false">
      <c r="A36" s="5" t="s">
        <v>168</v>
      </c>
      <c r="B36" s="5" t="s">
        <v>169</v>
      </c>
      <c r="C36" s="17" t="n">
        <v>2</v>
      </c>
      <c r="D36" s="5" t="s">
        <v>137</v>
      </c>
      <c r="E36" s="5" t="s">
        <v>170</v>
      </c>
    </row>
    <row r="37" customFormat="false" ht="15" hidden="false" customHeight="false" outlineLevel="0" collapsed="false">
      <c r="A37" s="5" t="s">
        <v>171</v>
      </c>
      <c r="B37" s="5" t="s">
        <v>172</v>
      </c>
      <c r="C37" s="17" t="n">
        <v>2</v>
      </c>
      <c r="D37" s="5" t="s">
        <v>137</v>
      </c>
      <c r="E37" s="5" t="s">
        <v>170</v>
      </c>
    </row>
    <row r="38" customFormat="false" ht="15" hidden="false" customHeight="false" outlineLevel="0" collapsed="false">
      <c r="A38" s="5" t="s">
        <v>173</v>
      </c>
      <c r="B38" s="5" t="s">
        <v>174</v>
      </c>
      <c r="C38" s="17" t="n">
        <v>16</v>
      </c>
      <c r="D38" s="5" t="s">
        <v>175</v>
      </c>
      <c r="E38" s="5" t="s">
        <v>176</v>
      </c>
    </row>
    <row r="39" customFormat="false" ht="15" hidden="false" customHeight="false" outlineLevel="0" collapsed="false">
      <c r="A39" s="5" t="s">
        <v>177</v>
      </c>
      <c r="B39" s="5" t="s">
        <v>178</v>
      </c>
      <c r="C39" s="17" t="n">
        <v>12</v>
      </c>
      <c r="D39" s="5" t="s">
        <v>175</v>
      </c>
      <c r="E39" s="5" t="s">
        <v>176</v>
      </c>
    </row>
    <row r="40" customFormat="false" ht="15" hidden="false" customHeight="false" outlineLevel="0" collapsed="false">
      <c r="A40" s="5" t="s">
        <v>179</v>
      </c>
      <c r="B40" s="5" t="s">
        <v>180</v>
      </c>
      <c r="C40" s="17" t="n">
        <v>16</v>
      </c>
      <c r="D40" s="5" t="s">
        <v>181</v>
      </c>
      <c r="E40" s="5"/>
    </row>
    <row r="41" customFormat="false" ht="15" hidden="false" customHeight="false" outlineLevel="0" collapsed="false">
      <c r="A41" s="5" t="s">
        <v>182</v>
      </c>
      <c r="B41" s="5" t="s">
        <v>183</v>
      </c>
      <c r="C41" s="17" t="n">
        <v>4</v>
      </c>
      <c r="D41" s="5" t="s">
        <v>184</v>
      </c>
      <c r="E41" s="5" t="s">
        <v>185</v>
      </c>
    </row>
    <row r="43" customFormat="false" ht="15" hidden="false" customHeight="true" outlineLevel="0" collapsed="false">
      <c r="A43" s="7" t="s">
        <v>186</v>
      </c>
      <c r="B43" s="7"/>
      <c r="C43" s="7"/>
      <c r="D43" s="7"/>
      <c r="E43" s="7"/>
    </row>
    <row r="44" customFormat="false" ht="15" hidden="false" customHeight="true" outlineLevel="0" collapsed="false">
      <c r="A44" s="7" t="s">
        <v>187</v>
      </c>
      <c r="B44" s="7"/>
      <c r="C44" s="7"/>
      <c r="D44" s="7"/>
      <c r="E44" s="7"/>
    </row>
  </sheetData>
  <mergeCells count="2">
    <mergeCell ref="A43:E43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9" min="7" style="0" width="6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4" min="14" style="0" width="10"/>
    <col collapsed="false" customWidth="true" hidden="false" outlineLevel="0" max="16" min="15" style="0" width="46"/>
  </cols>
  <sheetData>
    <row r="1" customFormat="false" ht="30" hidden="false" customHeight="true" outlineLevel="0" collapsed="false">
      <c r="A1" s="16" t="s">
        <v>188</v>
      </c>
      <c r="B1" s="16" t="s">
        <v>189</v>
      </c>
      <c r="C1" s="16" t="s">
        <v>190</v>
      </c>
      <c r="D1" s="16" t="s">
        <v>191</v>
      </c>
      <c r="E1" s="16" t="s">
        <v>192</v>
      </c>
      <c r="F1" s="16" t="s">
        <v>193</v>
      </c>
      <c r="G1" s="16" t="s">
        <v>194</v>
      </c>
      <c r="H1" s="16" t="s">
        <v>195</v>
      </c>
      <c r="I1" s="16" t="s">
        <v>196</v>
      </c>
      <c r="J1" s="16" t="s">
        <v>197</v>
      </c>
      <c r="K1" s="16" t="s">
        <v>198</v>
      </c>
      <c r="L1" s="16" t="s">
        <v>199</v>
      </c>
      <c r="M1" s="16" t="s">
        <v>200</v>
      </c>
      <c r="N1" s="16" t="s">
        <v>201</v>
      </c>
      <c r="O1" s="16" t="s">
        <v>202</v>
      </c>
      <c r="P1" s="16" t="s">
        <v>203</v>
      </c>
    </row>
    <row r="2" customFormat="false" ht="35.05" hidden="false" customHeight="false" outlineLevel="0" collapsed="false">
      <c r="A2" s="5" t="s">
        <v>204</v>
      </c>
      <c r="B2" s="5" t="s">
        <v>205</v>
      </c>
      <c r="C2" s="5" t="s">
        <v>206</v>
      </c>
      <c r="D2" s="5" t="s">
        <v>207</v>
      </c>
      <c r="E2" s="5" t="s">
        <v>208</v>
      </c>
      <c r="F2" s="5" t="s">
        <v>209</v>
      </c>
      <c r="G2" s="5" t="n">
        <v>3</v>
      </c>
      <c r="H2" s="5" t="n">
        <v>22</v>
      </c>
      <c r="I2" s="5" t="n">
        <v>4.2</v>
      </c>
      <c r="J2" s="5" t="s">
        <v>210</v>
      </c>
      <c r="K2" s="17" t="n">
        <v>740</v>
      </c>
      <c r="L2" s="17" t="n">
        <v>250</v>
      </c>
      <c r="M2" s="17" t="n">
        <v>150</v>
      </c>
      <c r="N2" s="18" t="n">
        <f aca="false">ROUNDUP((K2+L2+M2)*(1+Summary!$C$9)/100,0)/10</f>
        <v>1.3</v>
      </c>
      <c r="O2" s="5" t="s">
        <v>211</v>
      </c>
      <c r="P2" s="5" t="s">
        <v>212</v>
      </c>
    </row>
    <row r="3" customFormat="false" ht="15" hidden="false" customHeight="false" outlineLevel="0" collapsed="false">
      <c r="A3" s="5" t="s">
        <v>213</v>
      </c>
      <c r="B3" s="5" t="s">
        <v>214</v>
      </c>
      <c r="C3" s="5" t="s">
        <v>215</v>
      </c>
      <c r="D3" s="5" t="s">
        <v>216</v>
      </c>
      <c r="E3" s="5" t="s">
        <v>208</v>
      </c>
      <c r="F3" s="5" t="s">
        <v>209</v>
      </c>
      <c r="G3" s="5" t="n">
        <v>3</v>
      </c>
      <c r="H3" s="5" t="n">
        <v>22</v>
      </c>
      <c r="I3" s="5" t="n">
        <v>4.2</v>
      </c>
      <c r="J3" s="5" t="s">
        <v>217</v>
      </c>
      <c r="K3" s="17" t="n">
        <v>598</v>
      </c>
      <c r="L3" s="17" t="n">
        <v>250</v>
      </c>
      <c r="M3" s="17" t="n">
        <v>150</v>
      </c>
      <c r="N3" s="18" t="n">
        <f aca="false">ROUNDUP((K3+L3+M3)*(1+Summary!$C$9)/100,0)/10</f>
        <v>1.1</v>
      </c>
      <c r="O3" s="5" t="s">
        <v>218</v>
      </c>
      <c r="P3" s="5" t="s">
        <v>219</v>
      </c>
    </row>
    <row r="4" customFormat="false" ht="15" hidden="false" customHeight="false" outlineLevel="0" collapsed="false">
      <c r="A4" s="5" t="s">
        <v>220</v>
      </c>
      <c r="B4" s="5" t="s">
        <v>221</v>
      </c>
      <c r="C4" s="5" t="s">
        <v>222</v>
      </c>
      <c r="D4" s="5" t="s">
        <v>223</v>
      </c>
      <c r="E4" s="5" t="s">
        <v>208</v>
      </c>
      <c r="F4" s="5" t="s">
        <v>209</v>
      </c>
      <c r="G4" s="5" t="n">
        <v>3</v>
      </c>
      <c r="H4" s="5" t="n">
        <v>22</v>
      </c>
      <c r="I4" s="5" t="n">
        <v>4.2</v>
      </c>
      <c r="J4" s="5" t="s">
        <v>224</v>
      </c>
      <c r="K4" s="17" t="n">
        <v>602</v>
      </c>
      <c r="L4" s="17" t="n">
        <v>250</v>
      </c>
      <c r="M4" s="17" t="n">
        <v>150</v>
      </c>
      <c r="N4" s="18" t="n">
        <f aca="false">ROUNDUP((K4+L4+M4)*(1+Summary!$C$9)/100,0)/10</f>
        <v>1.2</v>
      </c>
      <c r="O4" s="5" t="s">
        <v>218</v>
      </c>
      <c r="P4" s="5" t="s">
        <v>225</v>
      </c>
    </row>
    <row r="5" customFormat="false" ht="35.05" hidden="false" customHeight="false" outlineLevel="0" collapsed="false">
      <c r="A5" s="5" t="s">
        <v>226</v>
      </c>
      <c r="B5" s="5" t="s">
        <v>227</v>
      </c>
      <c r="C5" s="5" t="s">
        <v>228</v>
      </c>
      <c r="D5" s="5" t="s">
        <v>229</v>
      </c>
      <c r="E5" s="5" t="s">
        <v>230</v>
      </c>
      <c r="F5" s="5" t="s">
        <v>231</v>
      </c>
      <c r="G5" s="5" t="n">
        <v>6</v>
      </c>
      <c r="H5" s="5" t="n">
        <v>24</v>
      </c>
      <c r="I5" s="5" t="n">
        <v>4.8</v>
      </c>
      <c r="J5" s="5" t="s">
        <v>232</v>
      </c>
      <c r="K5" s="17" t="n">
        <v>460</v>
      </c>
      <c r="L5" s="17" t="n">
        <v>250</v>
      </c>
      <c r="M5" s="17" t="n">
        <v>600</v>
      </c>
      <c r="N5" s="18" t="n">
        <f aca="false">ROUNDUP((K5+L5+M5)*(1+Summary!$C$9)/100,0)/10</f>
        <v>1.5</v>
      </c>
      <c r="O5" s="5" t="s">
        <v>233</v>
      </c>
      <c r="P5" s="5" t="s">
        <v>234</v>
      </c>
    </row>
    <row r="6" customFormat="false" ht="23.85" hidden="false" customHeight="false" outlineLevel="0" collapsed="false">
      <c r="A6" s="5" t="s">
        <v>235</v>
      </c>
      <c r="B6" s="5" t="s">
        <v>236</v>
      </c>
      <c r="C6" s="5" t="s">
        <v>237</v>
      </c>
      <c r="D6" s="5" t="s">
        <v>238</v>
      </c>
      <c r="E6" s="5" t="s">
        <v>239</v>
      </c>
      <c r="F6" s="5" t="s">
        <v>240</v>
      </c>
      <c r="G6" s="5" t="n">
        <v>2</v>
      </c>
      <c r="H6" s="5" t="n">
        <v>20</v>
      </c>
      <c r="I6" s="5" t="n">
        <v>4.3</v>
      </c>
      <c r="J6" s="5" t="s">
        <v>241</v>
      </c>
      <c r="K6" s="17" t="n">
        <v>743</v>
      </c>
      <c r="L6" s="17" t="n">
        <v>250</v>
      </c>
      <c r="M6" s="17" t="n">
        <v>150</v>
      </c>
      <c r="N6" s="18" t="n">
        <f aca="false">ROUNDUP((K6+L6+M6)*(1+Summary!$C$9)/100,0)/10</f>
        <v>1.3</v>
      </c>
      <c r="O6" s="5" t="s">
        <v>242</v>
      </c>
      <c r="P6" s="5" t="s">
        <v>243</v>
      </c>
    </row>
    <row r="7" customFormat="false" ht="15" hidden="false" customHeight="false" outlineLevel="0" collapsed="false">
      <c r="A7" s="5" t="s">
        <v>244</v>
      </c>
      <c r="B7" s="5" t="s">
        <v>245</v>
      </c>
      <c r="C7" s="5" t="s">
        <v>246</v>
      </c>
      <c r="D7" s="5" t="s">
        <v>247</v>
      </c>
      <c r="E7" s="5" t="s">
        <v>239</v>
      </c>
      <c r="F7" s="5" t="s">
        <v>240</v>
      </c>
      <c r="G7" s="5" t="n">
        <v>2</v>
      </c>
      <c r="H7" s="5" t="n">
        <v>20</v>
      </c>
      <c r="I7" s="5" t="n">
        <v>4.3</v>
      </c>
      <c r="J7" s="5" t="s">
        <v>248</v>
      </c>
      <c r="K7" s="17" t="n">
        <v>733</v>
      </c>
      <c r="L7" s="17" t="n">
        <v>250</v>
      </c>
      <c r="M7" s="17" t="n">
        <v>150</v>
      </c>
      <c r="N7" s="18" t="n">
        <f aca="false">ROUNDUP((K7+L7+M7)*(1+Summary!$C$9)/100,0)/10</f>
        <v>1.3</v>
      </c>
      <c r="O7" s="5" t="s">
        <v>249</v>
      </c>
      <c r="P7" s="5" t="s">
        <v>250</v>
      </c>
    </row>
    <row r="8" customFormat="false" ht="35.05" hidden="false" customHeight="false" outlineLevel="0" collapsed="false">
      <c r="A8" s="5" t="s">
        <v>251</v>
      </c>
      <c r="B8" s="5" t="s">
        <v>252</v>
      </c>
      <c r="C8" s="5" t="s">
        <v>253</v>
      </c>
      <c r="D8" s="5" t="s">
        <v>254</v>
      </c>
      <c r="E8" s="5" t="s">
        <v>230</v>
      </c>
      <c r="F8" s="5" t="s">
        <v>231</v>
      </c>
      <c r="G8" s="5" t="n">
        <v>6</v>
      </c>
      <c r="H8" s="5" t="n">
        <v>24</v>
      </c>
      <c r="I8" s="5" t="n">
        <v>4.8</v>
      </c>
      <c r="J8" s="5" t="s">
        <v>255</v>
      </c>
      <c r="K8" s="17" t="n">
        <v>602</v>
      </c>
      <c r="L8" s="17" t="n">
        <v>250</v>
      </c>
      <c r="M8" s="17" t="n">
        <v>150</v>
      </c>
      <c r="N8" s="18" t="n">
        <f aca="false">ROUNDUP((K8+L8+M8)*(1+Summary!$C$9)/100,0)/10</f>
        <v>1.2</v>
      </c>
      <c r="O8" s="5" t="s">
        <v>256</v>
      </c>
      <c r="P8" s="5" t="s">
        <v>257</v>
      </c>
    </row>
    <row r="9" customFormat="false" ht="57.45" hidden="false" customHeight="false" outlineLevel="0" collapsed="false">
      <c r="A9" s="5" t="s">
        <v>258</v>
      </c>
      <c r="B9" s="5" t="s">
        <v>259</v>
      </c>
      <c r="C9" s="5" t="s">
        <v>260</v>
      </c>
      <c r="D9" s="5" t="s">
        <v>261</v>
      </c>
      <c r="E9" s="5" t="s">
        <v>262</v>
      </c>
      <c r="F9" s="5" t="s">
        <v>263</v>
      </c>
      <c r="G9" s="5" t="n">
        <v>8</v>
      </c>
      <c r="H9" s="5" t="n">
        <v>24</v>
      </c>
      <c r="I9" s="5" t="n">
        <v>6</v>
      </c>
      <c r="J9" s="5" t="s">
        <v>264</v>
      </c>
      <c r="K9" s="17" t="n">
        <v>287</v>
      </c>
      <c r="L9" s="17" t="n">
        <v>350</v>
      </c>
      <c r="M9" s="17" t="n">
        <v>100</v>
      </c>
      <c r="N9" s="18" t="n">
        <f aca="false">ROUNDUP((K9+L9+M9)*(1+Summary!$C$9)/100,0)/10</f>
        <v>0.9</v>
      </c>
      <c r="O9" s="5" t="inlineStr">
        <is>
          <t xml:space="preserve">Orange +12 V; wht/org GND; green ESP32 TX -&gt; P4 RX; wht/grn P4 TX -&gt; ESP32 RX; blue PIR out; wht/blu GND; brown HX711 SCK; wht/brn HX711 DOUT</t>
        </is>
      </c>
      <c r="P9" s="5" t="inlineStr">
        <is>
          <t xml:space="preserve">12 V (not 5 V) goes over the cable; a mini buck in the vision box makes 5 V for the ESP32-P4 board and the PIR. The reward HX711 runs off the P4 board's 3.3 V pin. 8 conductors are enough. Cut both RJ45 plugs off.</t>
        </is>
      </c>
    </row>
    <row r="10" customFormat="false" ht="15" hidden="false" customHeight="false" outlineLevel="0" collapsed="false">
      <c r="A10" s="5" t="s">
        <v>267</v>
      </c>
      <c r="B10" s="5" t="s">
        <v>268</v>
      </c>
      <c r="C10" s="5" t="s">
        <v>269</v>
      </c>
      <c r="D10" s="5" t="s">
        <v>270</v>
      </c>
      <c r="E10" s="5" t="s">
        <v>208</v>
      </c>
      <c r="F10" s="5" t="s">
        <v>209</v>
      </c>
      <c r="G10" s="5" t="n">
        <v>3</v>
      </c>
      <c r="H10" s="5" t="n">
        <v>22</v>
      </c>
      <c r="I10" s="5" t="n">
        <v>4.2</v>
      </c>
      <c r="J10" s="5" t="s">
        <v>271</v>
      </c>
      <c r="K10" s="17" t="n">
        <v>1051</v>
      </c>
      <c r="L10" s="17" t="n">
        <v>250</v>
      </c>
      <c r="M10" s="17" t="n">
        <v>150</v>
      </c>
      <c r="N10" s="18" t="n">
        <f aca="false">ROUNDUP((K10+L10+M10)*(1+Summary!$C$9)/100,0)/10</f>
        <v>1.6</v>
      </c>
      <c r="O10" s="5" t="s">
        <v>218</v>
      </c>
      <c r="P10" s="5" t="s">
        <v>272</v>
      </c>
    </row>
    <row r="11" customFormat="false" ht="35.05" hidden="false" customHeight="false" outlineLevel="0" collapsed="false">
      <c r="A11" s="5" t="s">
        <v>273</v>
      </c>
      <c r="B11" s="5" t="s">
        <v>274</v>
      </c>
      <c r="C11" s="5" t="s">
        <v>275</v>
      </c>
      <c r="D11" s="5" t="s">
        <v>276</v>
      </c>
      <c r="E11" s="5" t="s">
        <v>277</v>
      </c>
      <c r="F11" s="5" t="s">
        <v>278</v>
      </c>
      <c r="G11" s="5" t="n">
        <v>4</v>
      </c>
      <c r="H11" s="5" t="n">
        <v>24</v>
      </c>
      <c r="I11" s="5" t="n">
        <v>4.6</v>
      </c>
      <c r="J11" s="5" t="s">
        <v>279</v>
      </c>
      <c r="K11" s="17" t="n">
        <v>1174</v>
      </c>
      <c r="L11" s="17" t="n">
        <v>250</v>
      </c>
      <c r="M11" s="17" t="n">
        <v>250</v>
      </c>
      <c r="N11" s="18" t="n">
        <f aca="false">ROUNDUP((K11+L11+M11)*(1+Summary!$C$9)/100,0)/10</f>
        <v>1.9</v>
      </c>
      <c r="O11" s="5" t="s">
        <v>280</v>
      </c>
      <c r="P11" s="5" t="s">
        <v>281</v>
      </c>
    </row>
    <row r="12" customFormat="false" ht="15" hidden="false" customHeight="false" outlineLevel="0" collapsed="false">
      <c r="A12" s="5" t="s">
        <v>282</v>
      </c>
      <c r="B12" s="5" t="s">
        <v>283</v>
      </c>
      <c r="C12" s="5" t="s">
        <v>284</v>
      </c>
      <c r="D12" s="5" t="s">
        <v>285</v>
      </c>
      <c r="E12" s="5" t="s">
        <v>239</v>
      </c>
      <c r="F12" s="5" t="s">
        <v>240</v>
      </c>
      <c r="G12" s="5" t="n">
        <v>2</v>
      </c>
      <c r="H12" s="5" t="n">
        <v>20</v>
      </c>
      <c r="I12" s="5" t="n">
        <v>4.3</v>
      </c>
      <c r="J12" s="5" t="s">
        <v>286</v>
      </c>
      <c r="K12" s="17" t="n">
        <v>1093</v>
      </c>
      <c r="L12" s="17" t="n">
        <v>250</v>
      </c>
      <c r="M12" s="17" t="n">
        <v>150</v>
      </c>
      <c r="N12" s="18" t="n">
        <f aca="false">ROUNDUP((K12+L12+M12)*(1+Summary!$C$9)/100,0)/10</f>
        <v>1.7</v>
      </c>
      <c r="O12" s="5" t="s">
        <v>287</v>
      </c>
      <c r="P12" s="5" t="s">
        <v>288</v>
      </c>
    </row>
    <row r="13" customFormat="false" ht="23.85" hidden="false" customHeight="false" outlineLevel="0" collapsed="false">
      <c r="A13" s="5" t="s">
        <v>289</v>
      </c>
      <c r="B13" s="5" t="s">
        <v>290</v>
      </c>
      <c r="C13" s="5" t="s">
        <v>291</v>
      </c>
      <c r="D13" s="5" t="s">
        <v>292</v>
      </c>
      <c r="E13" s="5" t="s">
        <v>239</v>
      </c>
      <c r="F13" s="5" t="s">
        <v>240</v>
      </c>
      <c r="G13" s="5" t="n">
        <v>2</v>
      </c>
      <c r="H13" s="5" t="n">
        <v>20</v>
      </c>
      <c r="I13" s="5" t="n">
        <v>4.3</v>
      </c>
      <c r="J13" s="5" t="s">
        <v>293</v>
      </c>
      <c r="K13" s="17" t="n">
        <v>971</v>
      </c>
      <c r="L13" s="17" t="n">
        <v>250</v>
      </c>
      <c r="M13" s="17" t="n">
        <v>150</v>
      </c>
      <c r="N13" s="18" t="n">
        <f aca="false">ROUNDUP((K13+L13+M13)*(1+Summary!$C$9)/100,0)/10</f>
        <v>1.6</v>
      </c>
      <c r="O13" s="5" t="s">
        <v>287</v>
      </c>
      <c r="P13" s="5" t="s">
        <v>294</v>
      </c>
    </row>
    <row r="14" customFormat="false" ht="23.85" hidden="false" customHeight="false" outlineLevel="0" collapsed="false">
      <c r="A14" s="5" t="s">
        <v>295</v>
      </c>
      <c r="B14" s="5" t="s">
        <v>296</v>
      </c>
      <c r="C14" s="5" t="s">
        <v>297</v>
      </c>
      <c r="D14" s="5" t="s">
        <v>298</v>
      </c>
      <c r="E14" s="5" t="s">
        <v>299</v>
      </c>
      <c r="F14" s="5" t="s">
        <v>300</v>
      </c>
      <c r="G14" s="5" t="n">
        <v>2</v>
      </c>
      <c r="H14" s="5" t="n">
        <v>16</v>
      </c>
      <c r="I14" s="5" t="n">
        <v>7</v>
      </c>
      <c r="J14" s="5" t="s">
        <v>301</v>
      </c>
      <c r="K14" s="17" t="n">
        <v>713</v>
      </c>
      <c r="L14" s="17" t="n">
        <v>250</v>
      </c>
      <c r="M14" s="17" t="n">
        <v>150</v>
      </c>
      <c r="N14" s="18" t="n">
        <f aca="false">ROUNDUP((K14+L14+M14)*(1+Summary!$C$9)/100,0)/10</f>
        <v>1.3</v>
      </c>
      <c r="O14" s="5" t="s">
        <v>302</v>
      </c>
      <c r="P14" s="5" t="s">
        <v>303</v>
      </c>
    </row>
    <row r="15" customFormat="false" ht="35.05" hidden="false" customHeight="false" outlineLevel="0" collapsed="false">
      <c r="A15" s="5" t="s">
        <v>304</v>
      </c>
      <c r="B15" s="5" t="s">
        <v>305</v>
      </c>
      <c r="C15" s="5" t="s">
        <v>306</v>
      </c>
      <c r="D15" s="5" t="s">
        <v>307</v>
      </c>
      <c r="E15" s="5" t="s">
        <v>308</v>
      </c>
      <c r="F15" s="5" t="s">
        <v>309</v>
      </c>
      <c r="G15" s="5" t="n">
        <v>2</v>
      </c>
      <c r="H15" s="5" t="n">
        <v>18</v>
      </c>
      <c r="I15" s="5" t="n">
        <v>6</v>
      </c>
      <c r="J15" s="5" t="s">
        <v>310</v>
      </c>
      <c r="K15" s="17" t="n">
        <v>869</v>
      </c>
      <c r="L15" s="17" t="n">
        <v>0</v>
      </c>
      <c r="M15" s="17" t="n">
        <v>300</v>
      </c>
      <c r="N15" s="18" t="n">
        <f aca="false">ROUNDUP((K15+L15+M15)*(1+Summary!$C$9)/100,0)/10</f>
        <v>1.3</v>
      </c>
      <c r="O15" s="5" t="s">
        <v>311</v>
      </c>
      <c r="P15" s="5" t="s">
        <v>312</v>
      </c>
    </row>
    <row r="16" customFormat="false" ht="15" hidden="false" customHeight="false" outlineLevel="0" collapsed="false">
      <c r="A16" s="5" t="s">
        <v>313</v>
      </c>
      <c r="B16" s="5" t="s">
        <v>314</v>
      </c>
      <c r="C16" s="5" t="s">
        <v>315</v>
      </c>
      <c r="D16" s="5" t="s">
        <v>316</v>
      </c>
      <c r="E16" s="5" t="s">
        <v>317</v>
      </c>
      <c r="F16" s="5" t="s">
        <v>318</v>
      </c>
      <c r="G16" s="5" t="n">
        <v>1</v>
      </c>
      <c r="H16" s="5" t="n">
        <v>16</v>
      </c>
      <c r="I16" s="5" t="n">
        <v>3.2</v>
      </c>
      <c r="J16" s="5" t="s">
        <v>137</v>
      </c>
      <c r="K16" s="17" t="n">
        <v>68</v>
      </c>
      <c r="L16" s="17" t="n">
        <v>0</v>
      </c>
      <c r="M16" s="17" t="n">
        <v>100</v>
      </c>
      <c r="N16" s="18" t="n">
        <f aca="false">ROUNDUP((K16+L16+M16)*(1+Summary!$C$9)/100,0)/10</f>
        <v>0.2</v>
      </c>
      <c r="O16" s="5" t="s">
        <v>319</v>
      </c>
      <c r="P16" s="5" t="s">
        <v>320</v>
      </c>
    </row>
    <row r="17" customFormat="false" ht="15" hidden="false" customHeight="false" outlineLevel="0" collapsed="false">
      <c r="A17" s="5" t="s">
        <v>321</v>
      </c>
      <c r="B17" s="5" t="s">
        <v>322</v>
      </c>
      <c r="C17" s="5" t="s">
        <v>323</v>
      </c>
      <c r="D17" s="5" t="s">
        <v>324</v>
      </c>
      <c r="E17" s="5" t="s">
        <v>317</v>
      </c>
      <c r="F17" s="5" t="s">
        <v>318</v>
      </c>
      <c r="G17" s="5" t="n">
        <v>1</v>
      </c>
      <c r="H17" s="5" t="n">
        <v>16</v>
      </c>
      <c r="I17" s="5" t="n">
        <v>3.2</v>
      </c>
      <c r="J17" s="5" t="s">
        <v>137</v>
      </c>
      <c r="K17" s="17" t="n">
        <v>122</v>
      </c>
      <c r="L17" s="17" t="n">
        <v>0</v>
      </c>
      <c r="M17" s="17" t="n">
        <v>100</v>
      </c>
      <c r="N17" s="18" t="n">
        <f aca="false">ROUNDUP((K17+L17+M17)*(1+Summary!$C$9)/100,0)/10</f>
        <v>0.3</v>
      </c>
      <c r="O17" s="5" t="s">
        <v>319</v>
      </c>
      <c r="P17" s="5" t="s">
        <v>325</v>
      </c>
    </row>
    <row r="18" customFormat="false" ht="15" hidden="false" customHeight="false" outlineLevel="0" collapsed="false">
      <c r="A18" s="5" t="s">
        <v>326</v>
      </c>
      <c r="B18" s="5" t="s">
        <v>327</v>
      </c>
      <c r="C18" s="5" t="s">
        <v>328</v>
      </c>
      <c r="D18" s="5" t="s">
        <v>329</v>
      </c>
      <c r="E18" s="5" t="s">
        <v>330</v>
      </c>
      <c r="F18" s="5" t="s">
        <v>318</v>
      </c>
      <c r="G18" s="5" t="n">
        <v>1</v>
      </c>
      <c r="H18" s="5" t="n">
        <v>16</v>
      </c>
      <c r="I18" s="5" t="n">
        <v>3.2</v>
      </c>
      <c r="J18" s="5" t="s">
        <v>137</v>
      </c>
      <c r="K18" s="17" t="n">
        <v>167</v>
      </c>
      <c r="L18" s="17" t="n">
        <v>0</v>
      </c>
      <c r="M18" s="17" t="n">
        <v>100</v>
      </c>
      <c r="N18" s="18" t="n">
        <f aca="false">ROUNDUP((K18+L18+M18)*(1+Summary!$C$9)/100,0)/10</f>
        <v>0.3</v>
      </c>
      <c r="O18" s="5" t="s">
        <v>137</v>
      </c>
      <c r="P18" s="5"/>
    </row>
    <row r="19" customFormat="false" ht="23.85" hidden="false" customHeight="false" outlineLevel="0" collapsed="false">
      <c r="A19" s="5" t="s">
        <v>331</v>
      </c>
      <c r="B19" s="5" t="s">
        <v>332</v>
      </c>
      <c r="C19" s="5" t="s">
        <v>333</v>
      </c>
      <c r="D19" s="5" t="s">
        <v>334</v>
      </c>
      <c r="E19" s="5" t="s">
        <v>208</v>
      </c>
      <c r="F19" s="5" t="s">
        <v>209</v>
      </c>
      <c r="G19" s="5" t="n">
        <v>3</v>
      </c>
      <c r="H19" s="5" t="n">
        <v>22</v>
      </c>
      <c r="I19" s="5" t="n">
        <v>4.2</v>
      </c>
      <c r="J19" s="5" t="s">
        <v>335</v>
      </c>
      <c r="K19" s="17" t="n">
        <v>81</v>
      </c>
      <c r="L19" s="17" t="n">
        <v>100</v>
      </c>
      <c r="M19" s="17" t="n">
        <v>100</v>
      </c>
      <c r="N19" s="18" t="n">
        <f aca="false">ROUNDUP((K19+L19+M19)*(1+Summary!$C$9)/100,0)/10</f>
        <v>0.4</v>
      </c>
      <c r="O19" s="5" t="s">
        <v>336</v>
      </c>
      <c r="P19" s="5" t="s">
        <v>337</v>
      </c>
    </row>
    <row r="20" customFormat="false" ht="35.05" hidden="false" customHeight="false" outlineLevel="0" collapsed="false">
      <c r="A20" s="5" t="s">
        <v>338</v>
      </c>
      <c r="B20" s="5" t="s">
        <v>339</v>
      </c>
      <c r="C20" s="5" t="s">
        <v>340</v>
      </c>
      <c r="D20" s="5" t="s">
        <v>341</v>
      </c>
      <c r="E20" s="5" t="s">
        <v>342</v>
      </c>
      <c r="F20" s="5" t="s">
        <v>343</v>
      </c>
      <c r="G20" s="5" t="n">
        <v>4</v>
      </c>
      <c r="H20" s="5" t="n">
        <v>30</v>
      </c>
      <c r="I20" s="5" t="n">
        <v>3.5</v>
      </c>
      <c r="J20" s="5" t="s">
        <v>344</v>
      </c>
      <c r="K20" s="17" t="n">
        <v>111</v>
      </c>
      <c r="L20" s="17" t="n">
        <v>100</v>
      </c>
      <c r="M20" s="17" t="n">
        <v>50</v>
      </c>
      <c r="N20" s="18" t="n">
        <f aca="false">ROUNDUP((K20+L20+M20)*(1+Summary!$C$9)/100,0)/10</f>
        <v>0.3</v>
      </c>
      <c r="O20" s="5" t="s">
        <v>345</v>
      </c>
      <c r="P20" s="5" t="s">
        <v>346</v>
      </c>
    </row>
    <row r="22" customFormat="false" ht="15" hidden="false" customHeight="true" outlineLevel="0" collapsed="false">
      <c r="A22" s="7" t="s">
        <v>347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4" customFormat="false" ht="52.2" hidden="false" customHeight="false" outlineLevel="0" collapsed="false">
      <c r="A24" s="13" t="s">
        <v>348</v>
      </c>
    </row>
    <row r="25" customFormat="false" ht="23.85" hidden="false" customHeight="false" outlineLevel="0" collapsed="false">
      <c r="E25" s="8" t="s">
        <v>193</v>
      </c>
      <c r="F25" s="8" t="s">
        <v>192</v>
      </c>
      <c r="G25" s="8" t="s">
        <v>349</v>
      </c>
    </row>
    <row r="26" customFormat="false" ht="35.05" hidden="false" customHeight="false" outlineLevel="0" collapsed="false">
      <c r="E26" s="5" t="s">
        <v>209</v>
      </c>
      <c r="F26" s="5" t="s">
        <v>208</v>
      </c>
      <c r="G26" s="18" t="n">
        <f aca="false">SUMIF($F$2:$F$20,"3C22",$N$2:$N$20)</f>
        <v>5.6</v>
      </c>
    </row>
    <row r="27" customFormat="false" ht="35.05" hidden="false" customHeight="false" outlineLevel="0" collapsed="false">
      <c r="E27" s="5" t="s">
        <v>240</v>
      </c>
      <c r="F27" s="5" t="s">
        <v>239</v>
      </c>
      <c r="G27" s="18" t="n">
        <f aca="false">SUMIF($F$2:$F$20,"2C20",$N$2:$N$20)</f>
        <v>5.9</v>
      </c>
    </row>
    <row r="28" customFormat="false" ht="35.05" hidden="false" customHeight="false" outlineLevel="0" collapsed="false">
      <c r="E28" s="5" t="s">
        <v>231</v>
      </c>
      <c r="F28" s="5" t="s">
        <v>230</v>
      </c>
      <c r="G28" s="18" t="n">
        <f aca="false">SUMIFS($N$2:$N$20,$F$2:$F$20,"6C24",$A$2:$A$20,"&lt;&gt;W04")</f>
        <v>1.2</v>
      </c>
    </row>
    <row r="29" customFormat="false" ht="35.05" hidden="false" customHeight="false" outlineLevel="0" collapsed="false">
      <c r="E29" s="5" t="s">
        <v>278</v>
      </c>
      <c r="F29" s="5" t="s">
        <v>350</v>
      </c>
      <c r="G29" s="18" t="n">
        <f aca="false">SUMIF($F$2:$F$20,"4C24S",$N$2:$N$20)</f>
        <v>1.9</v>
      </c>
    </row>
    <row r="30" customFormat="false" ht="35.05" hidden="false" customHeight="false" outlineLevel="0" collapsed="false">
      <c r="E30" s="5" t="s">
        <v>263</v>
      </c>
      <c r="F30" s="5" t="s">
        <v>351</v>
      </c>
      <c r="G30" s="18" t="n">
        <f aca="false">SUMIF($F$2:$F$20,"CAT6",$N$2:$N$20)</f>
        <v>0.9</v>
      </c>
    </row>
    <row r="31" customFormat="false" ht="35.05" hidden="false" customHeight="false" outlineLevel="0" collapsed="false">
      <c r="E31" s="5" t="s">
        <v>300</v>
      </c>
      <c r="F31" s="5" t="s">
        <v>299</v>
      </c>
      <c r="G31" s="18" t="n">
        <f aca="false">SUMIF($F$2:$F$20,"2C16",$N$2:$N$20)</f>
        <v>1.3</v>
      </c>
    </row>
    <row r="32" customFormat="false" ht="35.05" hidden="false" customHeight="false" outlineLevel="0" collapsed="false">
      <c r="E32" s="5" t="s">
        <v>309</v>
      </c>
      <c r="F32" s="5" t="s">
        <v>352</v>
      </c>
      <c r="G32" s="18" t="n">
        <f aca="false">SUMIF($F$2:$F$20,"2C18UV",$N$2:$N$20)</f>
        <v>1.3</v>
      </c>
    </row>
    <row r="33" customFormat="false" ht="23.85" hidden="false" customHeight="false" outlineLevel="0" collapsed="false">
      <c r="E33" s="5" t="s">
        <v>318</v>
      </c>
      <c r="F33" s="5" t="s">
        <v>353</v>
      </c>
      <c r="G33" s="18" t="n">
        <f aca="false">SUMIF($F$2:$F$20,"16AWG",$N$2:$N$20)</f>
        <v>0.8</v>
      </c>
    </row>
    <row r="34" customFormat="false" ht="46.25" hidden="false" customHeight="false" outlineLevel="0" collapsed="false">
      <c r="E34" s="5" t="s">
        <v>354</v>
      </c>
      <c r="F34" s="5" t="s">
        <v>355</v>
      </c>
      <c r="G34" s="18" t="n">
        <f aca="false">SUMIFS($N$2:$N$20,$A$2:$A$20,"W04")</f>
        <v>1.5</v>
      </c>
    </row>
  </sheetData>
  <mergeCells count="1">
    <mergeCell ref="A22:P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30" hidden="false" customHeight="true" outlineLevel="0" collapsed="false">
      <c r="A1" s="16" t="s">
        <v>356</v>
      </c>
      <c r="B1" s="16" t="s">
        <v>357</v>
      </c>
      <c r="C1" s="16" t="s">
        <v>358</v>
      </c>
      <c r="D1" s="16" t="s">
        <v>359</v>
      </c>
      <c r="E1" s="16" t="s">
        <v>360</v>
      </c>
      <c r="F1" s="16" t="s">
        <v>361</v>
      </c>
      <c r="G1" s="16" t="s">
        <v>203</v>
      </c>
    </row>
    <row r="2" customFormat="false" ht="23.85" hidden="false" customHeight="false" outlineLevel="0" collapsed="false">
      <c r="A2" s="5" t="s">
        <v>362</v>
      </c>
      <c r="B2" s="5" t="s">
        <v>363</v>
      </c>
      <c r="C2" s="5" t="s">
        <v>364</v>
      </c>
      <c r="D2" s="5" t="s">
        <v>365</v>
      </c>
      <c r="E2" s="5" t="s">
        <v>366</v>
      </c>
      <c r="F2" s="5" t="s">
        <v>367</v>
      </c>
      <c r="G2" s="5" t="s">
        <v>368</v>
      </c>
    </row>
    <row r="3" customFormat="false" ht="15" hidden="false" customHeight="false" outlineLevel="0" collapsed="false">
      <c r="A3" s="5"/>
      <c r="B3" s="5"/>
      <c r="C3" s="5" t="s">
        <v>369</v>
      </c>
      <c r="D3" s="5" t="s">
        <v>370</v>
      </c>
      <c r="E3" s="5"/>
      <c r="F3" s="5"/>
      <c r="G3" s="5"/>
    </row>
    <row r="4" customFormat="false" ht="15" hidden="false" customHeight="false" outlineLevel="0" collapsed="false">
      <c r="A4" s="5"/>
      <c r="B4" s="5"/>
      <c r="C4" s="5" t="s">
        <v>371</v>
      </c>
      <c r="D4" s="5" t="s">
        <v>372</v>
      </c>
      <c r="E4" s="5"/>
      <c r="F4" s="5"/>
      <c r="G4" s="5"/>
    </row>
    <row r="5" customFormat="false" ht="15" hidden="false" customHeight="false" outlineLevel="0" collapsed="false">
      <c r="A5" s="5"/>
      <c r="B5" s="5"/>
      <c r="C5" s="5" t="s">
        <v>373</v>
      </c>
      <c r="D5" s="5" t="s">
        <v>374</v>
      </c>
      <c r="E5" s="5"/>
      <c r="F5" s="5"/>
      <c r="G5" s="5"/>
    </row>
    <row r="6" customFormat="false" ht="23.85" hidden="false" customHeight="false" outlineLevel="0" collapsed="false">
      <c r="A6" s="5" t="s">
        <v>362</v>
      </c>
      <c r="B6" s="5" t="s">
        <v>375</v>
      </c>
      <c r="C6" s="5" t="s">
        <v>364</v>
      </c>
      <c r="D6" s="5" t="s">
        <v>376</v>
      </c>
      <c r="E6" s="5" t="s">
        <v>377</v>
      </c>
      <c r="F6" s="5" t="s">
        <v>367</v>
      </c>
      <c r="G6" s="5"/>
    </row>
    <row r="7" customFormat="false" ht="15" hidden="false" customHeight="false" outlineLevel="0" collapsed="false">
      <c r="A7" s="5"/>
      <c r="B7" s="5"/>
      <c r="C7" s="5" t="s">
        <v>369</v>
      </c>
      <c r="D7" s="5" t="s">
        <v>378</v>
      </c>
      <c r="E7" s="5"/>
      <c r="F7" s="5"/>
      <c r="G7" s="5"/>
    </row>
    <row r="8" customFormat="false" ht="15" hidden="false" customHeight="false" outlineLevel="0" collapsed="false">
      <c r="A8" s="5"/>
      <c r="B8" s="5"/>
      <c r="C8" s="5" t="s">
        <v>371</v>
      </c>
      <c r="D8" s="5" t="s">
        <v>379</v>
      </c>
      <c r="E8" s="5"/>
      <c r="F8" s="5"/>
      <c r="G8" s="5"/>
    </row>
    <row r="9" customFormat="false" ht="15" hidden="false" customHeight="false" outlineLevel="0" collapsed="false">
      <c r="A9" s="5"/>
      <c r="B9" s="5"/>
      <c r="C9" s="5" t="s">
        <v>373</v>
      </c>
      <c r="D9" s="5" t="s">
        <v>380</v>
      </c>
      <c r="E9" s="5"/>
      <c r="F9" s="5"/>
      <c r="G9" s="5"/>
    </row>
    <row r="10" customFormat="false" ht="23.85" hidden="false" customHeight="false" outlineLevel="0" collapsed="false">
      <c r="A10" s="5" t="s">
        <v>362</v>
      </c>
      <c r="B10" s="5" t="s">
        <v>381</v>
      </c>
      <c r="C10" s="5" t="s">
        <v>364</v>
      </c>
      <c r="D10" s="5" t="s">
        <v>382</v>
      </c>
      <c r="E10" s="5" t="s">
        <v>383</v>
      </c>
      <c r="F10" s="5" t="s">
        <v>367</v>
      </c>
      <c r="G10" s="5"/>
    </row>
    <row r="11" customFormat="false" ht="15" hidden="false" customHeight="false" outlineLevel="0" collapsed="false">
      <c r="A11" s="5"/>
      <c r="B11" s="5"/>
      <c r="C11" s="5" t="s">
        <v>369</v>
      </c>
      <c r="D11" s="5" t="s">
        <v>384</v>
      </c>
      <c r="E11" s="5"/>
      <c r="F11" s="5"/>
      <c r="G11" s="5"/>
    </row>
    <row r="12" customFormat="false" ht="15" hidden="false" customHeight="false" outlineLevel="0" collapsed="false">
      <c r="A12" s="5"/>
      <c r="B12" s="5"/>
      <c r="C12" s="5" t="s">
        <v>371</v>
      </c>
      <c r="D12" s="5" t="s">
        <v>385</v>
      </c>
      <c r="E12" s="5"/>
      <c r="F12" s="5"/>
      <c r="G12" s="5"/>
    </row>
    <row r="13" customFormat="false" ht="15" hidden="false" customHeight="false" outlineLevel="0" collapsed="false">
      <c r="A13" s="5"/>
      <c r="B13" s="5"/>
      <c r="C13" s="5" t="s">
        <v>373</v>
      </c>
      <c r="D13" s="5" t="s">
        <v>386</v>
      </c>
      <c r="E13" s="5"/>
      <c r="F13" s="5"/>
      <c r="G13" s="5"/>
    </row>
    <row r="14" customFormat="false" ht="15" hidden="false" customHeight="false" outlineLevel="0" collapsed="false">
      <c r="A14" s="5" t="s">
        <v>362</v>
      </c>
      <c r="B14" s="5" t="s">
        <v>387</v>
      </c>
      <c r="C14" s="5" t="s">
        <v>388</v>
      </c>
      <c r="D14" s="5" t="s">
        <v>389</v>
      </c>
      <c r="E14" s="5" t="s">
        <v>390</v>
      </c>
      <c r="F14" s="5" t="s">
        <v>391</v>
      </c>
      <c r="G14" s="5"/>
    </row>
    <row r="15" customFormat="false" ht="15" hidden="false" customHeight="false" outlineLevel="0" collapsed="false">
      <c r="A15" s="5" t="s">
        <v>362</v>
      </c>
      <c r="B15" s="5" t="s">
        <v>392</v>
      </c>
      <c r="C15" s="5" t="s">
        <v>388</v>
      </c>
      <c r="D15" s="5" t="s">
        <v>393</v>
      </c>
      <c r="E15" s="5" t="s">
        <v>394</v>
      </c>
      <c r="F15" s="5" t="s">
        <v>391</v>
      </c>
      <c r="G15" s="5" t="s">
        <v>395</v>
      </c>
    </row>
    <row r="16" customFormat="false" ht="35.05" hidden="false" customHeight="false" outlineLevel="0" collapsed="false">
      <c r="A16" s="5" t="s">
        <v>396</v>
      </c>
      <c r="B16" s="5" t="s">
        <v>397</v>
      </c>
      <c r="C16" s="5" t="s">
        <v>137</v>
      </c>
      <c r="D16" s="5" t="s">
        <v>398</v>
      </c>
      <c r="E16" s="5" t="s">
        <v>399</v>
      </c>
      <c r="F16" s="5" t="s">
        <v>400</v>
      </c>
      <c r="G16" s="5" t="s">
        <v>401</v>
      </c>
    </row>
    <row r="17" customFormat="false" ht="15" hidden="false" customHeight="false" outlineLevel="0" collapsed="false">
      <c r="A17" s="5" t="s">
        <v>402</v>
      </c>
      <c r="B17" s="5" t="s">
        <v>403</v>
      </c>
      <c r="C17" s="5" t="s">
        <v>388</v>
      </c>
      <c r="D17" s="5" t="s">
        <v>404</v>
      </c>
      <c r="E17" s="5" t="s">
        <v>405</v>
      </c>
      <c r="F17" s="5" t="s">
        <v>406</v>
      </c>
      <c r="G17" s="5" t="s">
        <v>407</v>
      </c>
    </row>
    <row r="18" customFormat="false" ht="23.85" hidden="false" customHeight="false" outlineLevel="0" collapsed="false">
      <c r="A18" s="5" t="s">
        <v>402</v>
      </c>
      <c r="B18" s="5" t="s">
        <v>408</v>
      </c>
      <c r="C18" s="5" t="s">
        <v>388</v>
      </c>
      <c r="D18" s="5" t="s">
        <v>409</v>
      </c>
      <c r="E18" s="5" t="s">
        <v>410</v>
      </c>
      <c r="F18" s="5" t="s">
        <v>406</v>
      </c>
      <c r="G18" s="5" t="s">
        <v>411</v>
      </c>
    </row>
    <row r="19" customFormat="false" ht="15" hidden="false" customHeight="false" outlineLevel="0" collapsed="false">
      <c r="A19" s="5" t="s">
        <v>412</v>
      </c>
      <c r="B19" s="5" t="s">
        <v>413</v>
      </c>
      <c r="C19" s="5" t="s">
        <v>388</v>
      </c>
      <c r="D19" s="5" t="s">
        <v>414</v>
      </c>
      <c r="E19" s="5" t="s">
        <v>415</v>
      </c>
      <c r="F19" s="5" t="s">
        <v>391</v>
      </c>
      <c r="G19" s="5"/>
    </row>
    <row r="20" customFormat="false" ht="15" hidden="false" customHeight="false" outlineLevel="0" collapsed="false">
      <c r="A20" s="5" t="s">
        <v>416</v>
      </c>
      <c r="B20" s="5" t="s">
        <v>417</v>
      </c>
      <c r="C20" s="5" t="s">
        <v>388</v>
      </c>
      <c r="D20" s="5" t="s">
        <v>418</v>
      </c>
      <c r="E20" s="5" t="s">
        <v>419</v>
      </c>
      <c r="F20" s="5" t="s">
        <v>406</v>
      </c>
      <c r="G20" s="5" t="s">
        <v>420</v>
      </c>
    </row>
    <row r="21" customFormat="false" ht="23.85" hidden="false" customHeight="false" outlineLevel="0" collapsed="false">
      <c r="A21" s="5" t="s">
        <v>421</v>
      </c>
      <c r="B21" s="5" t="s">
        <v>422</v>
      </c>
      <c r="C21" s="5" t="s">
        <v>137</v>
      </c>
      <c r="D21" s="5" t="s">
        <v>423</v>
      </c>
      <c r="E21" s="5" t="s">
        <v>424</v>
      </c>
      <c r="F21" s="5" t="s">
        <v>425</v>
      </c>
      <c r="G21" s="5" t="s">
        <v>426</v>
      </c>
    </row>
    <row r="22" customFormat="false" ht="15" hidden="false" customHeight="false" outlineLevel="0" collapsed="false">
      <c r="A22" s="5" t="s">
        <v>427</v>
      </c>
      <c r="B22" s="5" t="s">
        <v>422</v>
      </c>
      <c r="C22" s="5" t="s">
        <v>137</v>
      </c>
      <c r="D22" s="5" t="s">
        <v>428</v>
      </c>
      <c r="E22" s="5" t="s">
        <v>429</v>
      </c>
      <c r="F22" s="5" t="s">
        <v>425</v>
      </c>
      <c r="G22" s="5"/>
    </row>
    <row r="23" customFormat="false" ht="23.85" hidden="false" customHeight="false" outlineLevel="0" collapsed="false">
      <c r="A23" s="5" t="s">
        <v>430</v>
      </c>
      <c r="B23" s="5" t="s">
        <v>431</v>
      </c>
      <c r="C23" s="5" t="s">
        <v>137</v>
      </c>
      <c r="D23" s="5" t="s">
        <v>432</v>
      </c>
      <c r="E23" s="5"/>
      <c r="F23" s="5" t="s">
        <v>433</v>
      </c>
      <c r="G23" s="5" t="s">
        <v>434</v>
      </c>
    </row>
    <row r="24" customFormat="false" ht="23.85" hidden="false" customHeight="false" outlineLevel="0" collapsed="false">
      <c r="A24" s="5" t="s">
        <v>435</v>
      </c>
      <c r="B24" s="5" t="s">
        <v>436</v>
      </c>
      <c r="C24" s="5" t="s">
        <v>137</v>
      </c>
      <c r="D24" s="5" t="s">
        <v>437</v>
      </c>
      <c r="E24" s="5"/>
      <c r="F24" s="5" t="s">
        <v>137</v>
      </c>
      <c r="G24" s="5" t="s">
        <v>438</v>
      </c>
    </row>
    <row r="26" customFormat="false" ht="15" hidden="false" customHeight="true" outlineLevel="0" collapsed="false">
      <c r="A26" s="7" t="s">
        <v>439</v>
      </c>
      <c r="B26" s="7"/>
      <c r="C26" s="7"/>
      <c r="D26" s="7"/>
      <c r="E26" s="7"/>
      <c r="F26" s="7"/>
      <c r="G26" s="7"/>
    </row>
  </sheetData>
  <mergeCells count="1"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40"/>
    <col collapsed="false" customWidth="true" hidden="false" outlineLevel="0" max="12" min="12" style="0" width="16"/>
    <col collapsed="false" customWidth="true" hidden="false" outlineLevel="0" max="13" min="13" style="0" width="40"/>
  </cols>
  <sheetData>
    <row r="1" customFormat="false" ht="30" hidden="false" customHeight="true" outlineLevel="0" collapsed="false">
      <c r="A1" s="16" t="s">
        <v>440</v>
      </c>
      <c r="B1" s="16" t="s">
        <v>441</v>
      </c>
      <c r="C1" s="16" t="s">
        <v>83</v>
      </c>
      <c r="D1" s="16" t="s">
        <v>442</v>
      </c>
      <c r="E1" s="16" t="s">
        <v>443</v>
      </c>
      <c r="F1" s="16" t="s">
        <v>444</v>
      </c>
      <c r="G1" s="16" t="s">
        <v>445</v>
      </c>
      <c r="H1" s="16" t="s">
        <v>446</v>
      </c>
      <c r="I1" s="16" t="s">
        <v>447</v>
      </c>
      <c r="J1" s="16" t="s">
        <v>448</v>
      </c>
      <c r="K1" s="16" t="s">
        <v>449</v>
      </c>
      <c r="L1" s="16" t="s">
        <v>450</v>
      </c>
      <c r="M1" s="16" t="s">
        <v>203</v>
      </c>
    </row>
    <row r="2" customFormat="false" ht="23.85" hidden="false" customHeight="false" outlineLevel="0" collapsed="false">
      <c r="A2" s="5" t="s">
        <v>451</v>
      </c>
      <c r="B2" s="5" t="s">
        <v>452</v>
      </c>
      <c r="C2" s="17" t="n">
        <v>1</v>
      </c>
      <c r="D2" s="5" t="s">
        <v>453</v>
      </c>
      <c r="E2" s="5" t="s">
        <v>454</v>
      </c>
      <c r="F2" s="19" t="n">
        <v>25.1</v>
      </c>
      <c r="G2" s="20" t="n">
        <v>1.07</v>
      </c>
      <c r="H2" s="20" t="n">
        <v>0.85</v>
      </c>
      <c r="I2" s="21" t="n">
        <f aca="false">C2*F2*G2*H2</f>
        <v>22.82845</v>
      </c>
      <c r="J2" s="5" t="s">
        <v>455</v>
      </c>
      <c r="K2" s="5" t="s">
        <v>456</v>
      </c>
      <c r="L2" s="5" t="s">
        <v>457</v>
      </c>
      <c r="M2" s="5" t="s">
        <v>458</v>
      </c>
    </row>
    <row r="3" customFormat="false" ht="23.85" hidden="false" customHeight="false" outlineLevel="0" collapsed="false">
      <c r="A3" s="5" t="s">
        <v>459</v>
      </c>
      <c r="B3" s="5" t="s">
        <v>460</v>
      </c>
      <c r="C3" s="17" t="n">
        <v>1</v>
      </c>
      <c r="D3" s="5" t="s">
        <v>453</v>
      </c>
      <c r="E3" s="5" t="s">
        <v>461</v>
      </c>
      <c r="F3" s="19" t="n">
        <v>219.3</v>
      </c>
      <c r="G3" s="20" t="n">
        <v>1.07</v>
      </c>
      <c r="H3" s="20" t="n">
        <v>0.55</v>
      </c>
      <c r="I3" s="21" t="n">
        <f aca="false">C3*F3*G3*H3</f>
        <v>129.05805</v>
      </c>
      <c r="J3" s="5" t="s">
        <v>462</v>
      </c>
      <c r="K3" s="5" t="s">
        <v>463</v>
      </c>
      <c r="L3" s="5" t="s">
        <v>464</v>
      </c>
      <c r="M3" s="5" t="s">
        <v>465</v>
      </c>
    </row>
    <row r="4" customFormat="false" ht="15" hidden="false" customHeight="false" outlineLevel="0" collapsed="false">
      <c r="A4" s="5" t="s">
        <v>466</v>
      </c>
      <c r="B4" s="5" t="s">
        <v>460</v>
      </c>
      <c r="C4" s="17" t="n">
        <v>1</v>
      </c>
      <c r="D4" s="5" t="s">
        <v>453</v>
      </c>
      <c r="E4" s="5" t="s">
        <v>461</v>
      </c>
      <c r="F4" s="19" t="n">
        <v>219.3</v>
      </c>
      <c r="G4" s="20" t="n">
        <v>1.07</v>
      </c>
      <c r="H4" s="20" t="n">
        <v>0.55</v>
      </c>
      <c r="I4" s="21" t="n">
        <f aca="false">C4*F4*G4*H4</f>
        <v>129.05805</v>
      </c>
      <c r="J4" s="5" t="s">
        <v>462</v>
      </c>
      <c r="K4" s="5" t="s">
        <v>467</v>
      </c>
      <c r="L4" s="5" t="s">
        <v>464</v>
      </c>
      <c r="M4" s="5"/>
    </row>
    <row r="5" customFormat="false" ht="15" hidden="false" customHeight="false" outlineLevel="0" collapsed="false">
      <c r="A5" s="5" t="s">
        <v>468</v>
      </c>
      <c r="B5" s="5" t="s">
        <v>469</v>
      </c>
      <c r="C5" s="17" t="n">
        <v>1</v>
      </c>
      <c r="D5" s="5" t="s">
        <v>470</v>
      </c>
      <c r="E5" s="5" t="s">
        <v>461</v>
      </c>
      <c r="F5" s="19" t="n">
        <v>67.4</v>
      </c>
      <c r="G5" s="20" t="n">
        <v>1.27</v>
      </c>
      <c r="H5" s="20" t="n">
        <v>0.6</v>
      </c>
      <c r="I5" s="21" t="n">
        <f aca="false">C5*F5*G5*H5</f>
        <v>51.3588</v>
      </c>
      <c r="J5" s="5" t="s">
        <v>471</v>
      </c>
      <c r="K5" s="5" t="s">
        <v>472</v>
      </c>
      <c r="L5" s="5" t="s">
        <v>464</v>
      </c>
      <c r="M5" s="5" t="s">
        <v>473</v>
      </c>
    </row>
    <row r="6" customFormat="false" ht="15" hidden="false" customHeight="false" outlineLevel="0" collapsed="false">
      <c r="A6" s="5" t="s">
        <v>290</v>
      </c>
      <c r="B6" s="5" t="s">
        <v>474</v>
      </c>
      <c r="C6" s="17" t="n">
        <v>1</v>
      </c>
      <c r="D6" s="5" t="s">
        <v>470</v>
      </c>
      <c r="E6" s="5" t="s">
        <v>475</v>
      </c>
      <c r="F6" s="19" t="n">
        <v>92.6</v>
      </c>
      <c r="G6" s="20" t="n">
        <v>1.27</v>
      </c>
      <c r="H6" s="20" t="n">
        <v>0.6</v>
      </c>
      <c r="I6" s="21" t="n">
        <f aca="false">C6*F6*G6*H6</f>
        <v>70.5612</v>
      </c>
      <c r="J6" s="5" t="s">
        <v>476</v>
      </c>
      <c r="K6" s="5" t="s">
        <v>477</v>
      </c>
      <c r="L6" s="5" t="s">
        <v>464</v>
      </c>
      <c r="M6" s="5" t="s">
        <v>478</v>
      </c>
    </row>
    <row r="7" customFormat="false" ht="23.85" hidden="false" customHeight="false" outlineLevel="0" collapsed="false">
      <c r="A7" s="5" t="s">
        <v>479</v>
      </c>
      <c r="B7" s="5" t="s">
        <v>480</v>
      </c>
      <c r="C7" s="17" t="n">
        <v>1</v>
      </c>
      <c r="D7" s="5" t="s">
        <v>470</v>
      </c>
      <c r="E7" s="5" t="s">
        <v>454</v>
      </c>
      <c r="F7" s="19" t="n">
        <v>12.3</v>
      </c>
      <c r="G7" s="20" t="n">
        <v>1.27</v>
      </c>
      <c r="H7" s="20" t="n">
        <v>0.9</v>
      </c>
      <c r="I7" s="21" t="n">
        <f aca="false">C7*F7*G7*H7</f>
        <v>14.0589</v>
      </c>
      <c r="J7" s="5" t="s">
        <v>481</v>
      </c>
      <c r="K7" s="5" t="s">
        <v>482</v>
      </c>
      <c r="L7" s="5" t="s">
        <v>464</v>
      </c>
      <c r="M7" s="5" t="s">
        <v>483</v>
      </c>
    </row>
    <row r="8" customFormat="false" ht="23.85" hidden="false" customHeight="false" outlineLevel="0" collapsed="false">
      <c r="A8" s="5" t="s">
        <v>484</v>
      </c>
      <c r="B8" s="5" t="s">
        <v>485</v>
      </c>
      <c r="C8" s="17" t="n">
        <v>3</v>
      </c>
      <c r="D8" s="5" t="s">
        <v>470</v>
      </c>
      <c r="E8" s="5" t="s">
        <v>461</v>
      </c>
      <c r="F8" s="19" t="n">
        <v>35.7</v>
      </c>
      <c r="G8" s="20" t="n">
        <v>1.27</v>
      </c>
      <c r="H8" s="20" t="n">
        <v>0.85</v>
      </c>
      <c r="I8" s="21" t="n">
        <f aca="false">C8*F8*G8*H8</f>
        <v>115.61445</v>
      </c>
      <c r="J8" s="5" t="s">
        <v>486</v>
      </c>
      <c r="K8" s="5" t="s">
        <v>487</v>
      </c>
      <c r="L8" s="5" t="s">
        <v>464</v>
      </c>
      <c r="M8" s="5" t="s">
        <v>488</v>
      </c>
    </row>
    <row r="9" customFormat="false" ht="23.85" hidden="false" customHeight="false" outlineLevel="0" collapsed="false">
      <c r="A9" s="5" t="s">
        <v>489</v>
      </c>
      <c r="B9" s="5" t="s">
        <v>490</v>
      </c>
      <c r="C9" s="17" t="n">
        <v>3</v>
      </c>
      <c r="D9" s="5" t="s">
        <v>470</v>
      </c>
      <c r="E9" s="5" t="s">
        <v>461</v>
      </c>
      <c r="F9" s="19" t="n">
        <v>99.8</v>
      </c>
      <c r="G9" s="20" t="n">
        <v>1.27</v>
      </c>
      <c r="H9" s="20" t="n">
        <v>0.55</v>
      </c>
      <c r="I9" s="21" t="n">
        <f aca="false">C9*F9*G9*H9</f>
        <v>209.1309</v>
      </c>
      <c r="J9" s="5" t="s">
        <v>491</v>
      </c>
      <c r="K9" s="5" t="s">
        <v>492</v>
      </c>
      <c r="L9" s="5" t="s">
        <v>493</v>
      </c>
      <c r="M9" s="5" t="s">
        <v>494</v>
      </c>
    </row>
    <row r="10" customFormat="false" ht="15" hidden="false" customHeight="false" outlineLevel="0" collapsed="false">
      <c r="A10" s="5" t="s">
        <v>495</v>
      </c>
      <c r="B10" s="5" t="s">
        <v>496</v>
      </c>
      <c r="C10" s="17" t="n">
        <v>1</v>
      </c>
      <c r="D10" s="5" t="s">
        <v>470</v>
      </c>
      <c r="E10" s="5" t="s">
        <v>461</v>
      </c>
      <c r="F10" s="19" t="n">
        <v>108.4</v>
      </c>
      <c r="G10" s="20" t="n">
        <v>1.27</v>
      </c>
      <c r="H10" s="20" t="n">
        <v>0.55</v>
      </c>
      <c r="I10" s="21" t="n">
        <f aca="false">C10*F10*G10*H10</f>
        <v>75.7174</v>
      </c>
      <c r="J10" s="5" t="s">
        <v>497</v>
      </c>
      <c r="K10" s="5"/>
      <c r="L10" s="5" t="s">
        <v>464</v>
      </c>
      <c r="M10" s="5"/>
    </row>
    <row r="11" customFormat="false" ht="15" hidden="false" customHeight="false" outlineLevel="0" collapsed="false">
      <c r="A11" s="5" t="s">
        <v>498</v>
      </c>
      <c r="B11" s="5" t="s">
        <v>499</v>
      </c>
      <c r="C11" s="17" t="n">
        <v>1</v>
      </c>
      <c r="D11" s="5" t="s">
        <v>470</v>
      </c>
      <c r="E11" s="5" t="s">
        <v>461</v>
      </c>
      <c r="F11" s="19" t="n">
        <v>15.5</v>
      </c>
      <c r="G11" s="20" t="n">
        <v>1.27</v>
      </c>
      <c r="H11" s="20" t="n">
        <v>0.9</v>
      </c>
      <c r="I11" s="21" t="n">
        <f aca="false">C11*F11*G11*H11</f>
        <v>17.7165</v>
      </c>
      <c r="J11" s="5" t="s">
        <v>500</v>
      </c>
      <c r="K11" s="5"/>
      <c r="L11" s="5" t="s">
        <v>464</v>
      </c>
      <c r="M11" s="5"/>
    </row>
    <row r="12" customFormat="false" ht="15" hidden="false" customHeight="false" outlineLevel="0" collapsed="false">
      <c r="A12" s="5" t="s">
        <v>501</v>
      </c>
      <c r="B12" s="5" t="s">
        <v>502</v>
      </c>
      <c r="C12" s="17" t="n">
        <v>1</v>
      </c>
      <c r="D12" s="5" t="s">
        <v>470</v>
      </c>
      <c r="E12" s="5" t="s">
        <v>461</v>
      </c>
      <c r="F12" s="19" t="n">
        <v>150.8</v>
      </c>
      <c r="G12" s="20" t="n">
        <v>1.27</v>
      </c>
      <c r="H12" s="20" t="n">
        <v>0.55</v>
      </c>
      <c r="I12" s="21" t="n">
        <f aca="false">C12*F12*G12*H12</f>
        <v>105.3338</v>
      </c>
      <c r="J12" s="5" t="s">
        <v>503</v>
      </c>
      <c r="K12" s="5" t="s">
        <v>504</v>
      </c>
      <c r="L12" s="5" t="s">
        <v>464</v>
      </c>
      <c r="M12" s="5" t="s">
        <v>505</v>
      </c>
    </row>
    <row r="13" customFormat="false" ht="15" hidden="false" customHeight="false" outlineLevel="0" collapsed="false">
      <c r="A13" s="5" t="s">
        <v>506</v>
      </c>
      <c r="B13" s="5" t="s">
        <v>507</v>
      </c>
      <c r="C13" s="17" t="n">
        <v>1</v>
      </c>
      <c r="D13" s="5" t="s">
        <v>470</v>
      </c>
      <c r="E13" s="5" t="s">
        <v>461</v>
      </c>
      <c r="F13" s="19" t="n">
        <v>172.9</v>
      </c>
      <c r="G13" s="20" t="n">
        <v>1.27</v>
      </c>
      <c r="H13" s="20" t="n">
        <v>0.5</v>
      </c>
      <c r="I13" s="21" t="n">
        <f aca="false">C13*F13*G13*H13</f>
        <v>109.7915</v>
      </c>
      <c r="J13" s="5" t="s">
        <v>508</v>
      </c>
      <c r="K13" s="5"/>
      <c r="L13" s="5" t="s">
        <v>464</v>
      </c>
      <c r="M13" s="5" t="s">
        <v>509</v>
      </c>
    </row>
    <row r="14" customFormat="false" ht="23.85" hidden="false" customHeight="false" outlineLevel="0" collapsed="false">
      <c r="A14" s="5" t="s">
        <v>510</v>
      </c>
      <c r="B14" s="5" t="s">
        <v>511</v>
      </c>
      <c r="C14" s="17" t="n">
        <v>1</v>
      </c>
      <c r="D14" s="5" t="s">
        <v>470</v>
      </c>
      <c r="E14" s="5" t="s">
        <v>461</v>
      </c>
      <c r="F14" s="19" t="n">
        <v>44.7</v>
      </c>
      <c r="G14" s="20" t="n">
        <v>1.27</v>
      </c>
      <c r="H14" s="20" t="n">
        <v>0.95</v>
      </c>
      <c r="I14" s="21" t="n">
        <f aca="false">C14*F14*G14*H14</f>
        <v>53.93055</v>
      </c>
      <c r="J14" s="5" t="s">
        <v>512</v>
      </c>
      <c r="K14" s="5" t="s">
        <v>513</v>
      </c>
      <c r="L14" s="5" t="s">
        <v>464</v>
      </c>
      <c r="M14" s="5" t="s">
        <v>514</v>
      </c>
    </row>
    <row r="16" customFormat="false" ht="15" hidden="false" customHeight="false" outlineLevel="0" collapsed="false">
      <c r="A16" s="13" t="s">
        <v>515</v>
      </c>
    </row>
    <row r="17" customFormat="false" ht="15" hidden="false" customHeight="false" outlineLevel="0" collapsed="false">
      <c r="A17" s="15" t="s">
        <v>470</v>
      </c>
      <c r="H17" s="15" t="s">
        <v>516</v>
      </c>
      <c r="I17" s="21" t="n">
        <f aca="false">SUMIF($D$2:$D$14,"PETG",$I$2:$I$14)*(1+Summary!$C$10)</f>
        <v>946.6961</v>
      </c>
      <c r="J17" s="15" t="s">
        <v>517</v>
      </c>
      <c r="K17" s="21" t="n">
        <f aca="false">ROUNDUP(I17/1000,0)</f>
        <v>1</v>
      </c>
    </row>
    <row r="18" customFormat="false" ht="15" hidden="false" customHeight="false" outlineLevel="0" collapsed="false">
      <c r="A18" s="15" t="s">
        <v>453</v>
      </c>
      <c r="H18" s="15" t="s">
        <v>516</v>
      </c>
      <c r="I18" s="21" t="n">
        <f aca="false">SUMIF($D$2:$D$14,"ASA",$I$2:$I$14)*(1+Summary!$C$10)</f>
        <v>323.0862325</v>
      </c>
      <c r="J18" s="15" t="s">
        <v>517</v>
      </c>
      <c r="K18" s="21" t="n">
        <f aca="false">ROUNDUP(I18/1000,0)</f>
        <v>1</v>
      </c>
    </row>
    <row r="20" customFormat="false" ht="15" hidden="false" customHeight="true" outlineLevel="0" collapsed="false">
      <c r="A20" s="7" t="s">
        <v>518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</sheetData>
  <mergeCells count="1">
    <mergeCell ref="A20: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5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50"/>
  </cols>
  <sheetData>
    <row r="1" customFormat="false" ht="30" hidden="false" customHeight="true" outlineLevel="0" collapsed="false">
      <c r="A1" s="16" t="s">
        <v>440</v>
      </c>
      <c r="B1" s="16" t="s">
        <v>519</v>
      </c>
      <c r="C1" s="16" t="s">
        <v>520</v>
      </c>
      <c r="D1" s="16" t="s">
        <v>521</v>
      </c>
      <c r="E1" s="16" t="s">
        <v>83</v>
      </c>
      <c r="F1" s="16" t="s">
        <v>522</v>
      </c>
      <c r="G1" s="16" t="s">
        <v>523</v>
      </c>
      <c r="H1" s="16" t="s">
        <v>203</v>
      </c>
    </row>
    <row r="2" customFormat="false" ht="15" hidden="false" customHeight="false" outlineLevel="0" collapsed="false">
      <c r="A2" s="22" t="s">
        <v>524</v>
      </c>
      <c r="B2" s="22"/>
      <c r="C2" s="22"/>
      <c r="D2" s="22"/>
      <c r="E2" s="22"/>
      <c r="F2" s="22"/>
      <c r="G2" s="22"/>
      <c r="H2" s="22"/>
    </row>
    <row r="3" customFormat="false" ht="23.85" hidden="false" customHeight="false" outlineLevel="0" collapsed="false">
      <c r="A3" s="5" t="s">
        <v>525</v>
      </c>
      <c r="B3" s="5" t="s">
        <v>526</v>
      </c>
      <c r="C3" s="5" t="s">
        <v>527</v>
      </c>
      <c r="D3" s="5" t="s">
        <v>528</v>
      </c>
      <c r="E3" s="17" t="n">
        <v>1</v>
      </c>
      <c r="F3" s="5" t="s">
        <v>529</v>
      </c>
      <c r="G3" s="5" t="s">
        <v>530</v>
      </c>
      <c r="H3" s="5" t="s">
        <v>531</v>
      </c>
    </row>
    <row r="4" customFormat="false" ht="35.05" hidden="false" customHeight="false" outlineLevel="0" collapsed="false">
      <c r="A4" s="5" t="s">
        <v>532</v>
      </c>
      <c r="B4" s="5" t="s">
        <v>526</v>
      </c>
      <c r="C4" s="5" t="s">
        <v>533</v>
      </c>
      <c r="D4" s="5" t="s">
        <v>534</v>
      </c>
      <c r="E4" s="17" t="n">
        <v>1</v>
      </c>
      <c r="F4" s="5" t="s">
        <v>535</v>
      </c>
      <c r="G4" s="5" t="s">
        <v>536</v>
      </c>
      <c r="H4" s="5" t="s">
        <v>537</v>
      </c>
    </row>
    <row r="5" customFormat="false" ht="23.85" hidden="false" customHeight="false" outlineLevel="0" collapsed="false">
      <c r="A5" s="5" t="s">
        <v>538</v>
      </c>
      <c r="B5" s="5" t="s">
        <v>539</v>
      </c>
      <c r="C5" s="5" t="s">
        <v>540</v>
      </c>
      <c r="D5" s="5" t="s">
        <v>541</v>
      </c>
      <c r="E5" s="17" t="n">
        <v>1</v>
      </c>
      <c r="F5" s="5" t="s">
        <v>542</v>
      </c>
      <c r="G5" s="5" t="s">
        <v>543</v>
      </c>
      <c r="H5" s="5" t="s">
        <v>544</v>
      </c>
    </row>
    <row r="6" customFormat="false" ht="23.85" hidden="false" customHeight="false" outlineLevel="0" collapsed="false">
      <c r="A6" s="5" t="s">
        <v>545</v>
      </c>
      <c r="B6" s="5" t="s">
        <v>539</v>
      </c>
      <c r="C6" s="5" t="s">
        <v>546</v>
      </c>
      <c r="D6" s="5" t="s">
        <v>547</v>
      </c>
      <c r="E6" s="17" t="n">
        <v>1</v>
      </c>
      <c r="F6" s="5" t="s">
        <v>542</v>
      </c>
      <c r="G6" s="5" t="s">
        <v>548</v>
      </c>
      <c r="H6" s="5" t="s">
        <v>549</v>
      </c>
    </row>
    <row r="8" customFormat="false" ht="15" hidden="false" customHeight="false" outlineLevel="0" collapsed="false">
      <c r="A8" s="22" t="s">
        <v>550</v>
      </c>
      <c r="B8" s="22"/>
      <c r="C8" s="22"/>
      <c r="D8" s="22"/>
      <c r="E8" s="22"/>
      <c r="F8" s="22"/>
      <c r="G8" s="22"/>
      <c r="H8" s="22"/>
    </row>
    <row r="9" customFormat="false" ht="23.85" hidden="false" customHeight="false" outlineLevel="0" collapsed="false">
      <c r="A9" s="5" t="s">
        <v>551</v>
      </c>
      <c r="B9" s="5" t="s">
        <v>552</v>
      </c>
      <c r="C9" s="5" t="s">
        <v>553</v>
      </c>
      <c r="D9" s="5" t="s">
        <v>554</v>
      </c>
      <c r="E9" s="17" t="n">
        <v>2</v>
      </c>
      <c r="F9" s="5" t="s">
        <v>555</v>
      </c>
      <c r="G9" s="5" t="s">
        <v>556</v>
      </c>
      <c r="H9" s="5" t="s">
        <v>557</v>
      </c>
    </row>
    <row r="10" customFormat="false" ht="23.85" hidden="false" customHeight="false" outlineLevel="0" collapsed="false">
      <c r="A10" s="5" t="s">
        <v>396</v>
      </c>
      <c r="B10" s="5" t="s">
        <v>558</v>
      </c>
      <c r="C10" s="5" t="s">
        <v>553</v>
      </c>
      <c r="D10" s="5" t="s">
        <v>559</v>
      </c>
      <c r="E10" s="17" t="n">
        <v>1</v>
      </c>
      <c r="F10" s="5" t="s">
        <v>560</v>
      </c>
      <c r="G10" s="5" t="s">
        <v>556</v>
      </c>
      <c r="H10" s="5" t="s">
        <v>561</v>
      </c>
    </row>
    <row r="11" customFormat="false" ht="23.85" hidden="false" customHeight="false" outlineLevel="0" collapsed="false">
      <c r="A11" s="5" t="s">
        <v>562</v>
      </c>
      <c r="B11" s="5" t="s">
        <v>558</v>
      </c>
      <c r="C11" s="5" t="s">
        <v>553</v>
      </c>
      <c r="D11" s="5" t="s">
        <v>547</v>
      </c>
      <c r="E11" s="17" t="n">
        <v>1</v>
      </c>
      <c r="F11" s="5" t="s">
        <v>563</v>
      </c>
      <c r="G11" s="5" t="s">
        <v>556</v>
      </c>
      <c r="H11" s="5" t="s">
        <v>564</v>
      </c>
    </row>
    <row r="12" customFormat="false" ht="23.85" hidden="false" customHeight="false" outlineLevel="0" collapsed="false">
      <c r="A12" s="5" t="s">
        <v>416</v>
      </c>
      <c r="B12" s="5" t="s">
        <v>565</v>
      </c>
      <c r="C12" s="5" t="s">
        <v>553</v>
      </c>
      <c r="D12" s="5" t="s">
        <v>566</v>
      </c>
      <c r="E12" s="17" t="n">
        <v>1</v>
      </c>
      <c r="F12" s="5" t="s">
        <v>567</v>
      </c>
      <c r="G12" s="5" t="s">
        <v>568</v>
      </c>
      <c r="H12" s="5" t="s">
        <v>569</v>
      </c>
    </row>
    <row r="13" customFormat="false" ht="15" hidden="false" customHeight="false" outlineLevel="0" collapsed="false">
      <c r="A13" s="5" t="s">
        <v>570</v>
      </c>
      <c r="B13" s="5" t="s">
        <v>571</v>
      </c>
      <c r="C13" s="5" t="s">
        <v>553</v>
      </c>
      <c r="D13" s="5" t="s">
        <v>572</v>
      </c>
      <c r="E13" s="17" t="n">
        <v>1</v>
      </c>
      <c r="F13" s="5" t="s">
        <v>573</v>
      </c>
      <c r="G13" s="5" t="s">
        <v>574</v>
      </c>
      <c r="H13" s="5"/>
    </row>
    <row r="14" customFormat="false" ht="23.85" hidden="false" customHeight="false" outlineLevel="0" collapsed="false">
      <c r="A14" s="5" t="s">
        <v>575</v>
      </c>
      <c r="B14" s="5" t="s">
        <v>571</v>
      </c>
      <c r="C14" s="5" t="s">
        <v>553</v>
      </c>
      <c r="D14" s="5" t="s">
        <v>576</v>
      </c>
      <c r="E14" s="17" t="n">
        <v>1</v>
      </c>
      <c r="F14" s="5" t="s">
        <v>577</v>
      </c>
      <c r="G14" s="5" t="s">
        <v>578</v>
      </c>
      <c r="H14" s="5" t="s">
        <v>579</v>
      </c>
    </row>
    <row r="15" customFormat="false" ht="23.85" hidden="false" customHeight="false" outlineLevel="0" collapsed="false">
      <c r="A15" s="5" t="s">
        <v>580</v>
      </c>
      <c r="B15" s="5" t="s">
        <v>581</v>
      </c>
      <c r="C15" s="5" t="s">
        <v>582</v>
      </c>
      <c r="D15" s="5" t="s">
        <v>583</v>
      </c>
      <c r="E15" s="17" t="n">
        <v>4</v>
      </c>
      <c r="F15" s="5" t="s">
        <v>584</v>
      </c>
      <c r="G15" s="5" t="s">
        <v>474</v>
      </c>
      <c r="H15" s="5" t="s">
        <v>585</v>
      </c>
    </row>
    <row r="16" customFormat="false" ht="15" hidden="false" customHeight="false" outlineLevel="0" collapsed="false">
      <c r="A16" s="5" t="s">
        <v>586</v>
      </c>
      <c r="B16" s="5" t="s">
        <v>587</v>
      </c>
      <c r="C16" s="5" t="s">
        <v>137</v>
      </c>
      <c r="D16" s="5" t="s">
        <v>588</v>
      </c>
      <c r="E16" s="17" t="n">
        <v>4</v>
      </c>
      <c r="F16" s="5" t="s">
        <v>589</v>
      </c>
      <c r="G16" s="5" t="s">
        <v>590</v>
      </c>
      <c r="H16" s="5" t="s">
        <v>591</v>
      </c>
    </row>
    <row r="17" customFormat="false" ht="15" hidden="false" customHeight="false" outlineLevel="0" collapsed="false">
      <c r="A17" s="5" t="s">
        <v>592</v>
      </c>
      <c r="B17" s="5" t="s">
        <v>593</v>
      </c>
      <c r="C17" s="5" t="s">
        <v>137</v>
      </c>
      <c r="D17" s="5" t="s">
        <v>594</v>
      </c>
      <c r="E17" s="17" t="n">
        <v>2</v>
      </c>
      <c r="F17" s="5" t="s">
        <v>589</v>
      </c>
      <c r="G17" s="5" t="s">
        <v>590</v>
      </c>
      <c r="H17" s="5"/>
    </row>
    <row r="18" customFormat="false" ht="23.85" hidden="false" customHeight="false" outlineLevel="0" collapsed="false">
      <c r="A18" s="5" t="s">
        <v>595</v>
      </c>
      <c r="B18" s="5" t="s">
        <v>593</v>
      </c>
      <c r="C18" s="5" t="s">
        <v>137</v>
      </c>
      <c r="D18" s="5" t="s">
        <v>596</v>
      </c>
      <c r="E18" s="17" t="n">
        <v>2</v>
      </c>
      <c r="F18" s="5" t="s">
        <v>589</v>
      </c>
      <c r="G18" s="5" t="s">
        <v>590</v>
      </c>
      <c r="H18" s="5"/>
    </row>
    <row r="19" customFormat="false" ht="15" hidden="false" customHeight="false" outlineLevel="0" collapsed="false">
      <c r="A19" s="5" t="s">
        <v>597</v>
      </c>
      <c r="B19" s="5" t="s">
        <v>598</v>
      </c>
      <c r="C19" s="5" t="s">
        <v>137</v>
      </c>
      <c r="D19" s="5" t="s">
        <v>599</v>
      </c>
      <c r="E19" s="17" t="n">
        <v>2</v>
      </c>
      <c r="F19" s="5" t="s">
        <v>589</v>
      </c>
      <c r="G19" s="5" t="s">
        <v>590</v>
      </c>
      <c r="H19" s="5" t="s">
        <v>600</v>
      </c>
    </row>
    <row r="20" customFormat="false" ht="15" hidden="false" customHeight="false" outlineLevel="0" collapsed="false">
      <c r="A20" s="5" t="s">
        <v>601</v>
      </c>
      <c r="B20" s="5" t="s">
        <v>602</v>
      </c>
      <c r="C20" s="5" t="s">
        <v>137</v>
      </c>
      <c r="D20" s="5" t="s">
        <v>603</v>
      </c>
      <c r="E20" s="17" t="n">
        <v>1</v>
      </c>
      <c r="F20" s="5" t="s">
        <v>589</v>
      </c>
      <c r="G20" s="5" t="s">
        <v>590</v>
      </c>
      <c r="H20" s="5"/>
    </row>
    <row r="21" customFormat="false" ht="15" hidden="false" customHeight="false" outlineLevel="0" collapsed="false">
      <c r="A21" s="5" t="s">
        <v>604</v>
      </c>
      <c r="B21" s="5" t="s">
        <v>605</v>
      </c>
      <c r="C21" s="5" t="s">
        <v>137</v>
      </c>
      <c r="D21" s="5" t="s">
        <v>606</v>
      </c>
      <c r="E21" s="17" t="n">
        <v>4</v>
      </c>
      <c r="F21" s="5" t="s">
        <v>584</v>
      </c>
      <c r="G21" s="5" t="s">
        <v>556</v>
      </c>
      <c r="H21" s="5"/>
    </row>
    <row r="22" customFormat="false" ht="15" hidden="false" customHeight="false" outlineLevel="0" collapsed="false">
      <c r="A22" s="5" t="s">
        <v>607</v>
      </c>
      <c r="B22" s="5" t="s">
        <v>608</v>
      </c>
      <c r="C22" s="5" t="s">
        <v>137</v>
      </c>
      <c r="D22" s="5" t="s">
        <v>609</v>
      </c>
      <c r="E22" s="17" t="n">
        <v>2</v>
      </c>
      <c r="F22" s="5" t="s">
        <v>584</v>
      </c>
      <c r="G22" s="5" t="s">
        <v>460</v>
      </c>
      <c r="H22" s="5" t="s">
        <v>610</v>
      </c>
    </row>
    <row r="24" customFormat="false" ht="15" hidden="false" customHeight="false" outlineLevel="0" collapsed="false">
      <c r="A24" s="22" t="s">
        <v>611</v>
      </c>
      <c r="B24" s="22"/>
      <c r="C24" s="22"/>
      <c r="D24" s="22"/>
      <c r="E24" s="22"/>
      <c r="F24" s="22"/>
      <c r="G24" s="22"/>
      <c r="H24" s="22"/>
    </row>
    <row r="25" customFormat="false" ht="15" hidden="false" customHeight="false" outlineLevel="0" collapsed="false">
      <c r="A25" s="8" t="s">
        <v>612</v>
      </c>
      <c r="B25" s="8" t="s">
        <v>356</v>
      </c>
      <c r="C25" s="8"/>
      <c r="D25" s="8"/>
      <c r="E25" s="8" t="s">
        <v>83</v>
      </c>
      <c r="F25" s="8" t="s">
        <v>613</v>
      </c>
    </row>
    <row r="26" customFormat="false" ht="15" hidden="false" customHeight="false" outlineLevel="0" collapsed="false">
      <c r="A26" s="17" t="n">
        <v>1000</v>
      </c>
      <c r="B26" s="5" t="s">
        <v>614</v>
      </c>
      <c r="E26" s="17" t="n">
        <v>4</v>
      </c>
      <c r="F26" s="23" t="n">
        <f aca="false">A26*E26</f>
        <v>4000</v>
      </c>
    </row>
    <row r="27" customFormat="false" ht="23.85" hidden="false" customHeight="false" outlineLevel="0" collapsed="false">
      <c r="A27" s="17" t="n">
        <v>490</v>
      </c>
      <c r="B27" s="5" t="s">
        <v>615</v>
      </c>
      <c r="E27" s="17" t="n">
        <v>5</v>
      </c>
      <c r="F27" s="23" t="n">
        <f aca="false">A27*E27</f>
        <v>2450</v>
      </c>
    </row>
    <row r="28" customFormat="false" ht="23.85" hidden="false" customHeight="false" outlineLevel="0" collapsed="false">
      <c r="A28" s="17" t="n">
        <v>450</v>
      </c>
      <c r="B28" s="5" t="s">
        <v>616</v>
      </c>
      <c r="E28" s="17" t="n">
        <v>5</v>
      </c>
      <c r="F28" s="23" t="n">
        <f aca="false">A28*E28</f>
        <v>2250</v>
      </c>
    </row>
    <row r="29" customFormat="false" ht="23.85" hidden="false" customHeight="false" outlineLevel="0" collapsed="false">
      <c r="A29" s="17" t="n">
        <v>380</v>
      </c>
      <c r="B29" s="5" t="s">
        <v>617</v>
      </c>
      <c r="E29" s="17" t="n">
        <v>8</v>
      </c>
      <c r="F29" s="23" t="n">
        <f aca="false">A29*E29</f>
        <v>3040</v>
      </c>
    </row>
    <row r="30" customFormat="false" ht="15" hidden="false" customHeight="false" outlineLevel="0" collapsed="false">
      <c r="A30" s="17" t="n">
        <v>170</v>
      </c>
      <c r="B30" s="5" t="s">
        <v>618</v>
      </c>
      <c r="E30" s="17" t="n">
        <v>4</v>
      </c>
      <c r="F30" s="23" t="n">
        <f aca="false">A30*E30</f>
        <v>680</v>
      </c>
    </row>
    <row r="31" customFormat="false" ht="23.85" hidden="false" customHeight="false" outlineLevel="0" collapsed="false">
      <c r="A31" s="17" t="n">
        <v>150</v>
      </c>
      <c r="B31" s="5" t="s">
        <v>619</v>
      </c>
      <c r="E31" s="17" t="n">
        <v>9</v>
      </c>
      <c r="F31" s="23" t="n">
        <f aca="false">A31*E31</f>
        <v>1350</v>
      </c>
    </row>
    <row r="32" customFormat="false" ht="15" hidden="false" customHeight="false" outlineLevel="0" collapsed="false">
      <c r="A32" s="15" t="s">
        <v>620</v>
      </c>
      <c r="E32" s="15" t="n">
        <f aca="false">SUM(E26:E31)</f>
        <v>35</v>
      </c>
      <c r="F32" s="24" t="n">
        <f aca="false">SUM(F26:F31)</f>
        <v>13770</v>
      </c>
    </row>
    <row r="33" customFormat="false" ht="15" hidden="false" customHeight="true" outlineLevel="0" collapsed="false">
      <c r="A33" s="15" t="s">
        <v>621</v>
      </c>
      <c r="E33" s="17" t="n">
        <v>15</v>
      </c>
      <c r="F33" s="7" t="s">
        <v>622</v>
      </c>
      <c r="G33" s="7"/>
      <c r="H33" s="7"/>
    </row>
    <row r="34" customFormat="false" ht="15" hidden="false" customHeight="true" outlineLevel="0" collapsed="false">
      <c r="A34" s="7" t="s">
        <v>623</v>
      </c>
      <c r="B34" s="7"/>
      <c r="C34" s="7"/>
      <c r="D34" s="7"/>
      <c r="E34" s="7"/>
      <c r="F34" s="7"/>
      <c r="G34" s="7"/>
      <c r="H34" s="7"/>
    </row>
  </sheetData>
  <mergeCells count="2">
    <mergeCell ref="F33:H33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6" min="5" style="0" width="8"/>
    <col collapsed="false" customWidth="true" hidden="false" outlineLevel="0" max="8" min="7" style="0" width="7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34"/>
    <col collapsed="false" customWidth="true" hidden="false" outlineLevel="0" max="15" min="15" style="0" width="46"/>
  </cols>
  <sheetData>
    <row r="1" customFormat="false" ht="30" hidden="false" customHeight="true" outlineLevel="0" collapsed="false">
      <c r="A1" s="16" t="s">
        <v>188</v>
      </c>
      <c r="B1" s="16" t="s">
        <v>36</v>
      </c>
      <c r="C1" s="16" t="s">
        <v>624</v>
      </c>
      <c r="D1" s="16" t="s">
        <v>625</v>
      </c>
      <c r="E1" s="16" t="s">
        <v>626</v>
      </c>
      <c r="F1" s="16" t="s">
        <v>627</v>
      </c>
      <c r="G1" s="16" t="s">
        <v>628</v>
      </c>
      <c r="H1" s="16" t="s">
        <v>629</v>
      </c>
      <c r="I1" s="16" t="s">
        <v>630</v>
      </c>
      <c r="J1" s="16" t="s">
        <v>631</v>
      </c>
      <c r="K1" s="16" t="inlineStr">
        <is>
          <t xml:space="preserve">Have? (Y = received, O = ordered)</t>
        </is>
      </c>
      <c r="L1" s="16" t="s">
        <v>15</v>
      </c>
      <c r="M1" s="16" t="s">
        <v>12</v>
      </c>
      <c r="N1" s="16" t="s">
        <v>633</v>
      </c>
      <c r="O1" s="16" t="s">
        <v>634</v>
      </c>
    </row>
    <row r="2" customFormat="false" ht="23.85" hidden="false" customHeight="false" outlineLevel="0" collapsed="false">
      <c r="A2" s="5" t="s">
        <v>635</v>
      </c>
      <c r="B2" s="5" t="s">
        <v>37</v>
      </c>
      <c r="C2" s="5" t="s">
        <v>636</v>
      </c>
      <c r="D2" s="5" t="s">
        <v>637</v>
      </c>
      <c r="E2" s="14" t="n">
        <f aca="false">Cut!$E$33</f>
        <v>15</v>
      </c>
      <c r="F2" s="5" t="s">
        <v>638</v>
      </c>
      <c r="G2" s="17" t="n">
        <v>10</v>
      </c>
      <c r="H2" s="21" t="n">
        <f aca="false">ROUNDUP(E2/G2,0)</f>
        <v>2</v>
      </c>
      <c r="I2" s="25" t="n">
        <v>66.9</v>
      </c>
      <c r="J2" s="26" t="n">
        <f aca="false">H2*I2</f>
        <v>133.8</v>
      </c>
      <c r="K2" s="27" t="inlineStr">
        <is>
          <t xml:space="preserve">O</t>
        </is>
      </c>
      <c r="L2" s="26" t="n">
        <f aca="false">IF(OR(UPPER(K2)="Y",UPPER(K2)="O"),0,J2)</f>
        <v>133.8</v>
      </c>
      <c r="M2" s="5" t="s">
        <v>16</v>
      </c>
      <c r="N2" s="5" t="s">
        <v>639</v>
      </c>
      <c r="O2" s="5" t="s">
        <v>640</v>
      </c>
    </row>
    <row r="3" customFormat="false" ht="35.05" hidden="false" customHeight="false" outlineLevel="0" collapsed="false">
      <c r="A3" s="5" t="s">
        <v>641</v>
      </c>
      <c r="B3" s="5" t="s">
        <v>37</v>
      </c>
      <c r="C3" s="5" t="s">
        <v>642</v>
      </c>
      <c r="D3" s="5" t="s">
        <v>643</v>
      </c>
      <c r="E3" s="17" t="n">
        <v>78</v>
      </c>
      <c r="F3" s="5" t="s">
        <v>644</v>
      </c>
      <c r="G3" s="17" t="n">
        <v>40</v>
      </c>
      <c r="H3" s="21" t="n">
        <f aca="false">ROUNDUP(E3/G3,0)</f>
        <v>2</v>
      </c>
      <c r="I3" s="25" t="n">
        <v>22</v>
      </c>
      <c r="J3" s="26" t="n">
        <f aca="false">H3*I3</f>
        <v>44</v>
      </c>
      <c r="K3" s="27" t="inlineStr">
        <is>
          <t>Y</t>
        </is>
      </c>
      <c r="L3" s="26" t="n">
        <f aca="false">IF(OR(UPPER(K3)="Y",UPPER(K3)="O"),0,J3)</f>
        <v>44</v>
      </c>
      <c r="M3" s="5" t="s">
        <v>16</v>
      </c>
      <c r="N3" s="5" t="s">
        <v>645</v>
      </c>
      <c r="O3" s="5" t="s">
        <v>646</v>
      </c>
    </row>
    <row r="4" customFormat="false" ht="23.85" hidden="false" customHeight="false" outlineLevel="0" collapsed="false">
      <c r="A4" s="5" t="s">
        <v>647</v>
      </c>
      <c r="B4" s="5" t="s">
        <v>37</v>
      </c>
      <c r="C4" s="5" t="s">
        <v>648</v>
      </c>
      <c r="D4" s="5" t="s">
        <v>649</v>
      </c>
      <c r="E4" s="14" t="n">
        <f aca="false">SUMIF(Fasteners!$A$2:$A$41,"M5 T-nut",Fasteners!$C$2:$C$41)</f>
        <v>150</v>
      </c>
      <c r="F4" s="5" t="s">
        <v>650</v>
      </c>
      <c r="G4" s="17" t="n">
        <v>100</v>
      </c>
      <c r="H4" s="21" t="n">
        <f aca="false">ROUNDUP(E4*(1+Summary!$C$8)/G4,0)</f>
        <v>2</v>
      </c>
      <c r="I4" s="25" t="n">
        <v>9</v>
      </c>
      <c r="J4" s="26" t="n">
        <f aca="false">H4*I4</f>
        <v>18</v>
      </c>
      <c r="K4" s="27" t="inlineStr">
        <is>
          <t>Y</t>
        </is>
      </c>
      <c r="L4" s="26" t="n">
        <f aca="false">IF(OR(UPPER(K4)="Y",UPPER(K4)="O"),0,J4)</f>
        <v>18</v>
      </c>
      <c r="M4" s="5" t="s">
        <v>16</v>
      </c>
      <c r="N4" s="5" t="s">
        <v>651</v>
      </c>
      <c r="O4" s="5" t="s">
        <v>652</v>
      </c>
    </row>
    <row r="5" customFormat="false" ht="15" hidden="false" customHeight="false" outlineLevel="0" collapsed="false">
      <c r="A5" s="5" t="s">
        <v>653</v>
      </c>
      <c r="B5" s="5" t="s">
        <v>38</v>
      </c>
      <c r="C5" s="5" t="s">
        <v>654</v>
      </c>
      <c r="D5" s="5" t="s">
        <v>655</v>
      </c>
      <c r="E5" s="14" t="n">
        <f aca="false">SUMIF(Fasteners!$A$2:$A$41,"M5x8 BHCS",Fasteners!$C$2:$C$41)</f>
        <v>8</v>
      </c>
      <c r="F5" s="5" t="s">
        <v>650</v>
      </c>
      <c r="G5" s="17" t="n">
        <v>50</v>
      </c>
      <c r="H5" s="21" t="n">
        <f aca="false">ROUNDUP(E5*(1+Summary!$C$8)/G5,0)</f>
        <v>1</v>
      </c>
      <c r="I5" s="25" t="n">
        <v>7</v>
      </c>
      <c r="J5" s="26" t="n">
        <f aca="false">H5*I5</f>
        <v>7</v>
      </c>
      <c r="K5" s="27" t="inlineStr">
        <is>
          <t xml:space="preserve">O</t>
        </is>
      </c>
      <c r="L5" s="26" t="n">
        <f aca="false">IF(OR(UPPER(K5)="Y",UPPER(K5)="O"),0,J5)</f>
        <v>7</v>
      </c>
      <c r="M5" s="5" t="s">
        <v>16</v>
      </c>
      <c r="N5" s="5" t="s">
        <v>656</v>
      </c>
      <c r="O5" s="5" t="s">
        <v>652</v>
      </c>
    </row>
    <row r="6" customFormat="false" ht="15" hidden="false" customHeight="false" outlineLevel="0" collapsed="false">
      <c r="A6" s="5" t="s">
        <v>657</v>
      </c>
      <c r="B6" s="5" t="s">
        <v>38</v>
      </c>
      <c r="C6" s="5" t="s">
        <v>658</v>
      </c>
      <c r="D6" s="5" t="s">
        <v>659</v>
      </c>
      <c r="E6" s="14" t="n">
        <f aca="false">SUMIF(Fasteners!$A$2:$A$41,"M5x10 BHCS",Fasteners!$C$2:$C$41)</f>
        <v>17</v>
      </c>
      <c r="F6" s="5" t="s">
        <v>650</v>
      </c>
      <c r="G6" s="17" t="n">
        <v>50</v>
      </c>
      <c r="H6" s="21" t="n">
        <f aca="false">ROUNDUP(E6*(1+Summary!$C$8)/G6,0)</f>
        <v>1</v>
      </c>
      <c r="I6" s="25" t="n">
        <v>7</v>
      </c>
      <c r="J6" s="26" t="n">
        <f aca="false">H6*I6</f>
        <v>7</v>
      </c>
      <c r="K6" s="27" t="inlineStr">
        <is>
          <t xml:space="preserve">O</t>
        </is>
      </c>
      <c r="L6" s="26" t="n">
        <f aca="false">IF(OR(UPPER(K6)="Y",UPPER(K6)="O"),0,J6)</f>
        <v>7</v>
      </c>
      <c r="M6" s="5" t="s">
        <v>16</v>
      </c>
      <c r="N6" s="5" t="s">
        <v>660</v>
      </c>
      <c r="O6" s="5" t="s">
        <v>652</v>
      </c>
    </row>
    <row r="7" customFormat="false" ht="15" hidden="false" customHeight="false" outlineLevel="0" collapsed="false">
      <c r="A7" s="5" t="s">
        <v>661</v>
      </c>
      <c r="B7" s="5" t="s">
        <v>38</v>
      </c>
      <c r="C7" s="5" t="s">
        <v>662</v>
      </c>
      <c r="D7" s="5" t="s">
        <v>659</v>
      </c>
      <c r="E7" s="14" t="n">
        <f aca="false">SUMIF(Fasteners!$A$2:$A$41,"M5x12 BHCS",Fasteners!$C$2:$C$41)</f>
        <v>82</v>
      </c>
      <c r="F7" s="5" t="s">
        <v>650</v>
      </c>
      <c r="G7" s="17" t="n">
        <v>100</v>
      </c>
      <c r="H7" s="21" t="n">
        <f aca="false">ROUNDUP(E7*(1+Summary!$C$8)/G7,0)</f>
        <v>1</v>
      </c>
      <c r="I7" s="25" t="n">
        <v>11</v>
      </c>
      <c r="J7" s="26" t="n">
        <f aca="false">H7*I7</f>
        <v>11</v>
      </c>
      <c r="K7" s="27" t="inlineStr">
        <is>
          <t xml:space="preserve">O</t>
        </is>
      </c>
      <c r="L7" s="26" t="n">
        <f aca="false">IF(OR(UPPER(K7)="Y",UPPER(K7)="O"),0,J7)</f>
        <v>11</v>
      </c>
      <c r="M7" s="5" t="s">
        <v>16</v>
      </c>
      <c r="N7" s="5" t="s">
        <v>663</v>
      </c>
      <c r="O7" s="5" t="s">
        <v>652</v>
      </c>
    </row>
    <row r="8" customFormat="false" ht="15" hidden="false" customHeight="false" outlineLevel="0" collapsed="false">
      <c r="A8" s="5" t="s">
        <v>664</v>
      </c>
      <c r="B8" s="5" t="s">
        <v>38</v>
      </c>
      <c r="C8" s="5" t="s">
        <v>665</v>
      </c>
      <c r="D8" s="5" t="s">
        <v>659</v>
      </c>
      <c r="E8" s="14" t="n">
        <f aca="false">SUMIF(Fasteners!$A$2:$A$41,"M5x16 BHCS",Fasteners!$C$2:$C$41)</f>
        <v>23</v>
      </c>
      <c r="F8" s="5" t="s">
        <v>650</v>
      </c>
      <c r="G8" s="17" t="n">
        <v>50</v>
      </c>
      <c r="H8" s="21" t="n">
        <f aca="false">ROUNDUP(E8*(1+Summary!$C$8)/G8,0)</f>
        <v>1</v>
      </c>
      <c r="I8" s="25" t="n">
        <v>8</v>
      </c>
      <c r="J8" s="26" t="n">
        <f aca="false">H8*I8</f>
        <v>8</v>
      </c>
      <c r="K8" s="27" t="inlineStr">
        <is>
          <t xml:space="preserve">O</t>
        </is>
      </c>
      <c r="L8" s="26" t="n">
        <f aca="false">IF(OR(UPPER(K8)="Y",UPPER(K8)="O"),0,J8)</f>
        <v>8</v>
      </c>
      <c r="M8" s="5" t="s">
        <v>16</v>
      </c>
      <c r="N8" s="5" t="s">
        <v>666</v>
      </c>
      <c r="O8" s="5" t="s">
        <v>652</v>
      </c>
    </row>
    <row r="9" customFormat="false" ht="15" hidden="false" customHeight="false" outlineLevel="0" collapsed="false">
      <c r="A9" s="5" t="s">
        <v>667</v>
      </c>
      <c r="B9" s="5" t="s">
        <v>38</v>
      </c>
      <c r="C9" s="5" t="s">
        <v>668</v>
      </c>
      <c r="D9" s="5" t="s">
        <v>659</v>
      </c>
      <c r="E9" s="14" t="n">
        <f aca="false">SUMIF(Fasteners!$A$2:$A$41,"M5x20 BHCS",Fasteners!$C$2:$C$41)</f>
        <v>2</v>
      </c>
      <c r="F9" s="5" t="s">
        <v>650</v>
      </c>
      <c r="G9" s="17" t="n">
        <v>25</v>
      </c>
      <c r="H9" s="21" t="n">
        <f aca="false">ROUNDUP(E9*(1+Summary!$C$8)/G9,0)</f>
        <v>1</v>
      </c>
      <c r="I9" s="25" t="n">
        <v>6</v>
      </c>
      <c r="J9" s="26" t="n">
        <f aca="false">H9*I9</f>
        <v>6</v>
      </c>
      <c r="K9" s="27" t="inlineStr">
        <is>
          <t xml:space="preserve">O</t>
        </is>
      </c>
      <c r="L9" s="26" t="n">
        <f aca="false">IF(OR(UPPER(K9)="Y",UPPER(K9)="O"),0,J9)</f>
        <v>6</v>
      </c>
      <c r="M9" s="5" t="s">
        <v>16</v>
      </c>
      <c r="N9" s="5" t="s">
        <v>669</v>
      </c>
      <c r="O9" s="5" t="s">
        <v>652</v>
      </c>
    </row>
    <row r="10" customFormat="false" ht="15" hidden="false" customHeight="false" outlineLevel="0" collapsed="false">
      <c r="A10" s="5" t="s">
        <v>670</v>
      </c>
      <c r="B10" s="5" t="s">
        <v>38</v>
      </c>
      <c r="C10" s="5" t="s">
        <v>671</v>
      </c>
      <c r="D10" s="5" t="s">
        <v>672</v>
      </c>
      <c r="E10" s="14" t="n">
        <f aca="false">SUMIF(Fasteners!$A$2:$A$41,"M5x25 flanged BHCS",Fasteners!$C$2:$C$41)</f>
        <v>4</v>
      </c>
      <c r="F10" s="5" t="s">
        <v>650</v>
      </c>
      <c r="G10" s="17" t="n">
        <v>20</v>
      </c>
      <c r="H10" s="21" t="n">
        <f aca="false">ROUNDUP(E10*(1+Summary!$C$8)/G10,0)</f>
        <v>1</v>
      </c>
      <c r="I10" s="25" t="n">
        <v>8</v>
      </c>
      <c r="J10" s="26" t="n">
        <f aca="false">H10*I10</f>
        <v>8</v>
      </c>
      <c r="K10" s="27" t="inlineStr">
        <is>
          <t xml:space="preserve">O</t>
        </is>
      </c>
      <c r="L10" s="26" t="n">
        <f aca="false">IF(OR(UPPER(K10)="Y",UPPER(K10)="O"),0,J10)</f>
        <v>8</v>
      </c>
      <c r="M10" s="5" t="s">
        <v>16</v>
      </c>
      <c r="N10" s="5" t="s">
        <v>673</v>
      </c>
      <c r="O10" s="5" t="s">
        <v>652</v>
      </c>
    </row>
    <row r="11" customFormat="false" ht="15" hidden="false" customHeight="false" outlineLevel="0" collapsed="false">
      <c r="A11" s="5" t="s">
        <v>674</v>
      </c>
      <c r="B11" s="5" t="s">
        <v>38</v>
      </c>
      <c r="C11" s="5" t="s">
        <v>675</v>
      </c>
      <c r="D11" s="5" t="s">
        <v>676</v>
      </c>
      <c r="E11" s="14" t="n">
        <f aca="false">SUMIF(Fasteners!$A$2:$A$41,"M5x50 BHCS",Fasteners!$C$2:$C$41)</f>
        <v>12</v>
      </c>
      <c r="F11" s="5" t="s">
        <v>650</v>
      </c>
      <c r="G11" s="17" t="n">
        <v>25</v>
      </c>
      <c r="H11" s="21" t="n">
        <f aca="false">ROUNDUP(E11*(1+Summary!$C$8)/G11,0)</f>
        <v>1</v>
      </c>
      <c r="I11" s="25" t="n">
        <v>10</v>
      </c>
      <c r="J11" s="26" t="n">
        <f aca="false">H11*I11</f>
        <v>10</v>
      </c>
      <c r="K11" s="27" t="inlineStr">
        <is>
          <t xml:space="preserve">O</t>
        </is>
      </c>
      <c r="L11" s="26" t="n">
        <f aca="false">IF(OR(UPPER(K11)="Y",UPPER(K11)="O"),0,J11)</f>
        <v>10</v>
      </c>
      <c r="M11" s="5" t="s">
        <v>16</v>
      </c>
      <c r="N11" s="5" t="s">
        <v>677</v>
      </c>
      <c r="O11" s="5" t="s">
        <v>652</v>
      </c>
    </row>
    <row r="12" customFormat="false" ht="15" hidden="false" customHeight="false" outlineLevel="0" collapsed="false">
      <c r="A12" s="5" t="s">
        <v>678</v>
      </c>
      <c r="B12" s="5" t="s">
        <v>38</v>
      </c>
      <c r="C12" s="5" t="s">
        <v>679</v>
      </c>
      <c r="D12" s="5" t="s">
        <v>680</v>
      </c>
      <c r="E12" s="14" t="n">
        <f aca="false">SUMIF(Fasteners!$A$2:$A$41,"M5x75 hex bolt",Fasteners!$C$2:$C$41)</f>
        <v>4</v>
      </c>
      <c r="F12" s="5" t="s">
        <v>650</v>
      </c>
      <c r="G12" s="17" t="n">
        <v>10</v>
      </c>
      <c r="H12" s="21" t="n">
        <f aca="false">ROUNDUP(E12*(1+Summary!$C$8)/G12,0)</f>
        <v>1</v>
      </c>
      <c r="I12" s="25" t="n">
        <v>8</v>
      </c>
      <c r="J12" s="26" t="n">
        <f aca="false">H12*I12</f>
        <v>8</v>
      </c>
      <c r="K12" s="27"/>
      <c r="L12" s="26" t="n">
        <f aca="false">IF(OR(UPPER(K12)="Y",UPPER(K12)="O"),0,J12)</f>
        <v>8</v>
      </c>
      <c r="M12" s="5" t="s">
        <v>16</v>
      </c>
      <c r="N12" s="5" t="s">
        <v>681</v>
      </c>
      <c r="O12" s="5" t="s">
        <v>652</v>
      </c>
    </row>
    <row r="13" customFormat="false" ht="15" hidden="false" customHeight="false" outlineLevel="0" collapsed="false">
      <c r="A13" s="5" t="s">
        <v>682</v>
      </c>
      <c r="B13" s="5" t="s">
        <v>38</v>
      </c>
      <c r="C13" s="5" t="s">
        <v>683</v>
      </c>
      <c r="D13" s="5" t="s">
        <v>684</v>
      </c>
      <c r="E13" s="14" t="n">
        <f aca="false">SUMIF(Fasteners!$A$2:$A$41,"M5 washer",Fasteners!$C$2:$C$41)</f>
        <v>104</v>
      </c>
      <c r="F13" s="5" t="s">
        <v>650</v>
      </c>
      <c r="G13" s="17" t="n">
        <v>200</v>
      </c>
      <c r="H13" s="21" t="n">
        <f aca="false">ROUNDUP(E13*(1+Summary!$C$8)/G13,0)</f>
        <v>1</v>
      </c>
      <c r="I13" s="25" t="n">
        <v>8</v>
      </c>
      <c r="J13" s="26" t="n">
        <f aca="false">H13*I13</f>
        <v>8</v>
      </c>
      <c r="K13" s="27" t="inlineStr">
        <is>
          <t xml:space="preserve">O</t>
        </is>
      </c>
      <c r="L13" s="26" t="n">
        <f aca="false">IF(OR(UPPER(K13)="Y",UPPER(K13)="O"),0,J13)</f>
        <v>8</v>
      </c>
      <c r="M13" s="5" t="s">
        <v>16</v>
      </c>
      <c r="N13" s="5" t="s">
        <v>685</v>
      </c>
      <c r="O13" s="5" t="s">
        <v>652</v>
      </c>
    </row>
    <row r="14" customFormat="false" ht="15" hidden="false" customHeight="false" outlineLevel="0" collapsed="false">
      <c r="A14" s="5" t="s">
        <v>686</v>
      </c>
      <c r="B14" s="5" t="s">
        <v>38</v>
      </c>
      <c r="C14" s="5" t="s">
        <v>144</v>
      </c>
      <c r="D14" s="5" t="s">
        <v>687</v>
      </c>
      <c r="E14" s="14" t="n">
        <f aca="false">SUMIF(Fasteners!$A$2:$A$41,"M5 fender washer",Fasteners!$C$2:$C$41)</f>
        <v>20</v>
      </c>
      <c r="F14" s="5" t="s">
        <v>650</v>
      </c>
      <c r="G14" s="17" t="n">
        <v>25</v>
      </c>
      <c r="H14" s="21" t="n">
        <f aca="false">ROUNDUP(E14*(1+Summary!$C$8)/G14,0)</f>
        <v>1</v>
      </c>
      <c r="I14" s="25" t="n">
        <v>6</v>
      </c>
      <c r="J14" s="26" t="n">
        <f aca="false">H14*I14</f>
        <v>6</v>
      </c>
      <c r="K14" s="27" t="inlineStr">
        <is>
          <t xml:space="preserve">O</t>
        </is>
      </c>
      <c r="L14" s="26" t="n">
        <f aca="false">IF(OR(UPPER(K14)="Y",UPPER(K14)="O"),0,J14)</f>
        <v>6</v>
      </c>
      <c r="M14" s="5" t="s">
        <v>16</v>
      </c>
      <c r="N14" s="5" t="s">
        <v>688</v>
      </c>
      <c r="O14" s="5" t="s">
        <v>652</v>
      </c>
    </row>
    <row r="15" customFormat="false" ht="15" hidden="false" customHeight="false" outlineLevel="0" collapsed="false">
      <c r="A15" s="5" t="s">
        <v>689</v>
      </c>
      <c r="B15" s="5" t="s">
        <v>38</v>
      </c>
      <c r="C15" s="5" t="s">
        <v>690</v>
      </c>
      <c r="D15" s="5" t="s">
        <v>676</v>
      </c>
      <c r="E15" s="14" t="n">
        <f aca="false">SUMIF(Fasteners!$A$2:$A$41,"M5 nyloc",Fasteners!$C$2:$C$41)</f>
        <v>6</v>
      </c>
      <c r="F15" s="5" t="s">
        <v>650</v>
      </c>
      <c r="G15" s="17" t="n">
        <v>50</v>
      </c>
      <c r="H15" s="21" t="n">
        <f aca="false">ROUNDUP(E15*(1+Summary!$C$8)/G15,0)</f>
        <v>1</v>
      </c>
      <c r="I15" s="25" t="n">
        <v>5</v>
      </c>
      <c r="J15" s="26" t="n">
        <f aca="false">H15*I15</f>
        <v>5</v>
      </c>
      <c r="K15" s="27" t="inlineStr">
        <is>
          <t xml:space="preserve">O</t>
        </is>
      </c>
      <c r="L15" s="26" t="n">
        <f aca="false">IF(OR(UPPER(K15)="Y",UPPER(K15)="O"),0,J15)</f>
        <v>5</v>
      </c>
      <c r="M15" s="5" t="s">
        <v>16</v>
      </c>
      <c r="N15" s="5" t="s">
        <v>691</v>
      </c>
      <c r="O15" s="5" t="s">
        <v>652</v>
      </c>
    </row>
    <row r="16" customFormat="false" ht="15" hidden="false" customHeight="false" outlineLevel="0" collapsed="false">
      <c r="A16" s="5" t="s">
        <v>692</v>
      </c>
      <c r="B16" s="5" t="s">
        <v>38</v>
      </c>
      <c r="C16" s="5" t="s">
        <v>148</v>
      </c>
      <c r="D16" s="5" t="s">
        <v>693</v>
      </c>
      <c r="E16" s="14" t="n">
        <f aca="false">SUMIF(Fasteners!$A$2:$A$41,"M5 hex nut",Fasteners!$C$2:$C$41)</f>
        <v>4</v>
      </c>
      <c r="F16" s="5" t="s">
        <v>650</v>
      </c>
      <c r="G16" s="17" t="n">
        <v>50</v>
      </c>
      <c r="H16" s="21" t="n">
        <f aca="false">ROUNDUP(E16*(1+Summary!$C$8)/G16,0)</f>
        <v>1</v>
      </c>
      <c r="I16" s="25" t="n">
        <v>4</v>
      </c>
      <c r="J16" s="26" t="n">
        <f aca="false">H16*I16</f>
        <v>4</v>
      </c>
      <c r="K16" s="27" t="inlineStr">
        <is>
          <t xml:space="preserve">O</t>
        </is>
      </c>
      <c r="L16" s="26" t="n">
        <f aca="false">IF(OR(UPPER(K16)="Y",UPPER(K16)="O"),0,J16)</f>
        <v>4</v>
      </c>
      <c r="M16" s="5" t="s">
        <v>16</v>
      </c>
      <c r="N16" s="5" t="s">
        <v>694</v>
      </c>
      <c r="O16" s="5" t="s">
        <v>652</v>
      </c>
    </row>
    <row r="17" customFormat="false" ht="15" hidden="false" customHeight="false" outlineLevel="0" collapsed="false">
      <c r="A17" s="5" t="s">
        <v>695</v>
      </c>
      <c r="B17" s="5" t="s">
        <v>38</v>
      </c>
      <c r="C17" s="5" t="s">
        <v>696</v>
      </c>
      <c r="D17" s="5" t="s">
        <v>697</v>
      </c>
      <c r="E17" s="14" t="n">
        <v>0</v>
      </c>
      <c r="F17" s="5" t="s">
        <v>650</v>
      </c>
      <c r="G17" s="17" t="n">
        <v>25</v>
      </c>
      <c r="H17" s="21" t="n">
        <f aca="false">ROUNDUP(E17*(1+Summary!$C$8)/G17,0)</f>
        <v>1</v>
      </c>
      <c r="I17" s="25" t="n">
        <v>8</v>
      </c>
      <c r="J17" s="26" t="n">
        <f aca="false">H17*I17</f>
        <v>8</v>
      </c>
      <c r="K17" s="27"/>
      <c r="L17" s="26" t="n">
        <f aca="false">IF(OR(UPPER(K17)="Y",UPPER(K17)="O"),0,J17)</f>
        <v>8</v>
      </c>
      <c r="M17" s="5" t="s">
        <v>16</v>
      </c>
      <c r="N17" s="5" t="s">
        <v>698</v>
      </c>
      <c r="O17" s="5" t="inlineStr">
        <is>
          <t xml:space="preserve">DROPPED: front panel standoffs are stacks of 5 M5 washers instead.</t>
        </is>
      </c>
    </row>
    <row r="18" customFormat="false" ht="15" hidden="false" customHeight="false" outlineLevel="0" collapsed="false">
      <c r="A18" s="5" t="s">
        <v>699</v>
      </c>
      <c r="B18" s="5" t="s">
        <v>38</v>
      </c>
      <c r="C18" s="5" t="s">
        <v>700</v>
      </c>
      <c r="D18" s="5" t="s">
        <v>659</v>
      </c>
      <c r="E18" s="14" t="n">
        <f aca="false">SUMIF(Fasteners!$A$2:$A$41,"M4x16 BHCS",Fasteners!$C$2:$C$41)</f>
        <v>4</v>
      </c>
      <c r="F18" s="5" t="s">
        <v>650</v>
      </c>
      <c r="G18" s="17" t="n">
        <v>25</v>
      </c>
      <c r="H18" s="21" t="n">
        <f aca="false">ROUNDUP(E18*(1+Summary!$C$8)/G18,0)</f>
        <v>1</v>
      </c>
      <c r="I18" s="25" t="n">
        <v>5</v>
      </c>
      <c r="J18" s="26" t="n">
        <f aca="false">H18*I18</f>
        <v>5</v>
      </c>
      <c r="K18" s="27" t="inlineStr">
        <is>
          <t xml:space="preserve">O</t>
        </is>
      </c>
      <c r="L18" s="26" t="n">
        <f aca="false">IF(OR(UPPER(K18)="Y",UPPER(K18)="O"),0,J18)</f>
        <v>5</v>
      </c>
      <c r="M18" s="5" t="s">
        <v>16</v>
      </c>
      <c r="N18" s="5" t="s">
        <v>701</v>
      </c>
      <c r="O18" s="5" t="s">
        <v>652</v>
      </c>
    </row>
    <row r="19" customFormat="false" ht="15" hidden="false" customHeight="false" outlineLevel="0" collapsed="false">
      <c r="A19" s="5" t="s">
        <v>702</v>
      </c>
      <c r="B19" s="5" t="s">
        <v>38</v>
      </c>
      <c r="C19" s="5" t="s">
        <v>703</v>
      </c>
      <c r="D19" s="5" t="s">
        <v>659</v>
      </c>
      <c r="E19" s="14" t="n">
        <f aca="false">SUMIF(Fasteners!$A$2:$A$41,"M4x20 BHCS",Fasteners!$C$2:$C$41)</f>
        <v>8</v>
      </c>
      <c r="F19" s="5" t="s">
        <v>650</v>
      </c>
      <c r="G19" s="17" t="n">
        <v>25</v>
      </c>
      <c r="H19" s="21" t="n">
        <f aca="false">ROUNDUP(E19*(1+Summary!$C$8)/G19,0)</f>
        <v>1</v>
      </c>
      <c r="I19" s="25" t="n">
        <v>5</v>
      </c>
      <c r="J19" s="26" t="n">
        <f aca="false">H19*I19</f>
        <v>5</v>
      </c>
      <c r="K19" s="27" t="inlineStr">
        <is>
          <t xml:space="preserve">O</t>
        </is>
      </c>
      <c r="L19" s="26" t="n">
        <f aca="false">IF(OR(UPPER(K19)="Y",UPPER(K19)="O"),0,J19)</f>
        <v>5</v>
      </c>
      <c r="M19" s="5" t="s">
        <v>16</v>
      </c>
      <c r="N19" s="5" t="s">
        <v>704</v>
      </c>
      <c r="O19" s="5" t="s">
        <v>652</v>
      </c>
    </row>
    <row r="20" customFormat="false" ht="15" hidden="false" customHeight="false" outlineLevel="0" collapsed="false">
      <c r="A20" s="5" t="s">
        <v>705</v>
      </c>
      <c r="B20" s="5" t="s">
        <v>38</v>
      </c>
      <c r="C20" s="5" t="s">
        <v>706</v>
      </c>
      <c r="D20" s="5" t="s">
        <v>676</v>
      </c>
      <c r="E20" s="14" t="n">
        <f aca="false">SUMIF(Fasteners!$A$2:$A$41,"M4 nyloc",Fasteners!$C$2:$C$41)</f>
        <v>8</v>
      </c>
      <c r="F20" s="5" t="s">
        <v>650</v>
      </c>
      <c r="G20" s="17" t="n">
        <v>50</v>
      </c>
      <c r="H20" s="21" t="n">
        <f aca="false">ROUNDUP(E20*(1+Summary!$C$8)/G20,0)</f>
        <v>1</v>
      </c>
      <c r="I20" s="25" t="n">
        <v>4</v>
      </c>
      <c r="J20" s="26" t="n">
        <f aca="false">H20*I20</f>
        <v>4</v>
      </c>
      <c r="K20" s="27" t="inlineStr">
        <is>
          <t xml:space="preserve">O</t>
        </is>
      </c>
      <c r="L20" s="26" t="n">
        <f aca="false">IF(OR(UPPER(K20)="Y",UPPER(K20)="O"),0,J20)</f>
        <v>4</v>
      </c>
      <c r="M20" s="5" t="s">
        <v>16</v>
      </c>
      <c r="N20" s="5" t="s">
        <v>707</v>
      </c>
      <c r="O20" s="5" t="s">
        <v>652</v>
      </c>
    </row>
    <row r="21" customFormat="false" ht="15" hidden="false" customHeight="false" outlineLevel="0" collapsed="false">
      <c r="A21" s="5" t="s">
        <v>708</v>
      </c>
      <c r="B21" s="5" t="s">
        <v>38</v>
      </c>
      <c r="C21" s="5" t="s">
        <v>709</v>
      </c>
      <c r="D21" s="5" t="s">
        <v>676</v>
      </c>
      <c r="E21" s="14" t="n">
        <f aca="false">SUMIF(Fasteners!$A$2:$A$41,"M4 washer",Fasteners!$C$2:$C$41)</f>
        <v>20</v>
      </c>
      <c r="F21" s="5" t="s">
        <v>650</v>
      </c>
      <c r="G21" s="17" t="n">
        <v>100</v>
      </c>
      <c r="H21" s="21" t="n">
        <f aca="false">ROUNDUP(E21*(1+Summary!$C$8)/G21,0)</f>
        <v>1</v>
      </c>
      <c r="I21" s="25" t="n">
        <v>4</v>
      </c>
      <c r="J21" s="26" t="n">
        <f aca="false">H21*I21</f>
        <v>4</v>
      </c>
      <c r="K21" s="27" t="inlineStr">
        <is>
          <t xml:space="preserve">O</t>
        </is>
      </c>
      <c r="L21" s="26" t="n">
        <f aca="false">IF(OR(UPPER(K21)="Y",UPPER(K21)="O"),0,J21)</f>
        <v>4</v>
      </c>
      <c r="M21" s="5" t="s">
        <v>16</v>
      </c>
      <c r="N21" s="5" t="s">
        <v>710</v>
      </c>
      <c r="O21" s="5" t="s">
        <v>652</v>
      </c>
    </row>
    <row r="22" customFormat="false" ht="15" hidden="false" customHeight="false" outlineLevel="0" collapsed="false">
      <c r="A22" s="5" t="s">
        <v>711</v>
      </c>
      <c r="B22" s="5" t="s">
        <v>38</v>
      </c>
      <c r="C22" s="5" t="s">
        <v>712</v>
      </c>
      <c r="D22" s="5" t="s">
        <v>713</v>
      </c>
      <c r="E22" s="14" t="n">
        <v>0</v>
      </c>
      <c r="F22" s="5" t="s">
        <v>650</v>
      </c>
      <c r="G22" s="17" t="n">
        <v>1</v>
      </c>
      <c r="H22" s="21" t="n">
        <f aca="false">ROUNDUP(E22/G22,0)</f>
        <v>2</v>
      </c>
      <c r="I22" s="25" t="n">
        <v>2.5</v>
      </c>
      <c r="J22" s="26" t="n">
        <f aca="false">H22*I22</f>
        <v>5</v>
      </c>
      <c r="K22" s="27"/>
      <c r="L22" s="26" t="n">
        <f aca="false">IF(OR(UPPER(K22)="Y",UPPER(K22)="O"),0,J22)</f>
        <v>5</v>
      </c>
      <c r="M22" s="5" t="s">
        <v>16</v>
      </c>
      <c r="N22" s="5" t="s">
        <v>714</v>
      </c>
      <c r="O22" s="5" t="inlineStr">
        <is>
          <t xml:space="preserve">DROPPED: load cell spacer is 3 M4 hex nuts + 3 M4 washers instead.</t>
        </is>
      </c>
    </row>
    <row r="23" customFormat="false" ht="15" hidden="false" customHeight="false" outlineLevel="0" collapsed="false">
      <c r="A23" s="5" t="s">
        <v>716</v>
      </c>
      <c r="B23" s="5" t="s">
        <v>38</v>
      </c>
      <c r="C23" s="5" t="s">
        <v>717</v>
      </c>
      <c r="D23" s="5" t="s">
        <v>718</v>
      </c>
      <c r="E23" s="14" t="n">
        <v>0</v>
      </c>
      <c r="F23" s="5" t="s">
        <v>650</v>
      </c>
      <c r="G23" s="17" t="n">
        <v>1</v>
      </c>
      <c r="H23" s="21" t="n">
        <f aca="false">ROUNDUP(E23/G23,0)</f>
        <v>2</v>
      </c>
      <c r="I23" s="25" t="n">
        <v>2</v>
      </c>
      <c r="J23" s="26" t="n">
        <f aca="false">H23*I23</f>
        <v>4</v>
      </c>
      <c r="K23" s="27"/>
      <c r="L23" s="26" t="n">
        <f aca="false">IF(OR(UPPER(K23)="Y",UPPER(K23)="O"),0,J23)</f>
        <v>4</v>
      </c>
      <c r="M23" s="5" t="s">
        <v>16</v>
      </c>
      <c r="N23" s="5" t="s">
        <v>719</v>
      </c>
      <c r="O23" s="5" t="inlineStr">
        <is>
          <t xml:space="preserve">DROPPED: load cell spacer is 6 M4 washers instead.</t>
        </is>
      </c>
    </row>
    <row r="24" customFormat="false" ht="15" hidden="false" customHeight="false" outlineLevel="0" collapsed="false">
      <c r="A24" s="5" t="s">
        <v>720</v>
      </c>
      <c r="B24" s="5" t="s">
        <v>38</v>
      </c>
      <c r="C24" s="5" t="s">
        <v>721</v>
      </c>
      <c r="D24" s="5" t="s">
        <v>722</v>
      </c>
      <c r="E24" s="14" t="n">
        <f aca="false">SUMIF(Fasteners!$A$2:$A$41,"#8x2-1/2 wood",Fasteners!$C$2:$C$41)</f>
        <v>16</v>
      </c>
      <c r="F24" s="5" t="s">
        <v>650</v>
      </c>
      <c r="G24" s="17" t="n">
        <v>50</v>
      </c>
      <c r="H24" s="21" t="n">
        <f aca="false">ROUNDUP(E24*(1+Summary!$C$8)/G24,0)</f>
        <v>1</v>
      </c>
      <c r="I24" s="25" t="n">
        <v>8</v>
      </c>
      <c r="J24" s="26" t="n">
        <f aca="false">H24*I24</f>
        <v>8</v>
      </c>
      <c r="K24" s="27"/>
      <c r="L24" s="26" t="n">
        <f aca="false">IF(OR(UPPER(K24)="Y",UPPER(K24)="O"),0,J24)</f>
        <v>8</v>
      </c>
      <c r="M24" s="5" t="s">
        <v>16</v>
      </c>
      <c r="N24" s="5" t="s">
        <v>723</v>
      </c>
      <c r="O24" s="5" t="s">
        <v>652</v>
      </c>
    </row>
    <row r="25" customFormat="false" ht="15" hidden="false" customHeight="false" outlineLevel="0" collapsed="false">
      <c r="A25" s="5" t="s">
        <v>724</v>
      </c>
      <c r="B25" s="5" t="s">
        <v>38</v>
      </c>
      <c r="C25" s="5" t="s">
        <v>725</v>
      </c>
      <c r="D25" s="5" t="s">
        <v>726</v>
      </c>
      <c r="E25" s="14" t="n">
        <f aca="false">SUMIF(Fasteners!$A$2:$A$41,"#8x1-1/4 wood",Fasteners!$C$2:$C$41)</f>
        <v>12</v>
      </c>
      <c r="F25" s="5" t="s">
        <v>650</v>
      </c>
      <c r="G25" s="17" t="n">
        <v>50</v>
      </c>
      <c r="H25" s="21" t="n">
        <f aca="false">ROUNDUP(E25*(1+Summary!$C$8)/G25,0)</f>
        <v>1</v>
      </c>
      <c r="I25" s="25" t="n">
        <v>6</v>
      </c>
      <c r="J25" s="26" t="n">
        <f aca="false">H25*I25</f>
        <v>6</v>
      </c>
      <c r="K25" s="27"/>
      <c r="L25" s="26" t="n">
        <f aca="false">IF(OR(UPPER(K25)="Y",UPPER(K25)="O"),0,J25)</f>
        <v>6</v>
      </c>
      <c r="M25" s="5" t="s">
        <v>16</v>
      </c>
      <c r="N25" s="5" t="s">
        <v>727</v>
      </c>
      <c r="O25" s="5" t="s">
        <v>652</v>
      </c>
    </row>
    <row r="26" customFormat="false" ht="15" hidden="false" customHeight="false" outlineLevel="0" collapsed="false">
      <c r="A26" s="5" t="s">
        <v>728</v>
      </c>
      <c r="B26" s="5" t="s">
        <v>38</v>
      </c>
      <c r="C26" s="5" t="s">
        <v>729</v>
      </c>
      <c r="D26" s="5" t="s">
        <v>730</v>
      </c>
      <c r="E26" s="14" t="n">
        <f aca="false">SUMIF(Fasteners!$A$2:$A$41,"#6x5/8 wood",Fasteners!$C$2:$C$41)</f>
        <v>16</v>
      </c>
      <c r="F26" s="5" t="s">
        <v>650</v>
      </c>
      <c r="G26" s="17" t="n">
        <v>50</v>
      </c>
      <c r="H26" s="21" t="n">
        <f aca="false">ROUNDUP(E26*(1+Summary!$C$8)/G26,0)</f>
        <v>1</v>
      </c>
      <c r="I26" s="25" t="n">
        <v>5</v>
      </c>
      <c r="J26" s="26" t="n">
        <f aca="false">H26*I26</f>
        <v>5</v>
      </c>
      <c r="K26" s="27"/>
      <c r="L26" s="26" t="n">
        <f aca="false">IF(OR(UPPER(K26)="Y",UPPER(K26)="O"),0,J26)</f>
        <v>5</v>
      </c>
      <c r="M26" s="5" t="s">
        <v>16</v>
      </c>
      <c r="N26" s="5" t="s">
        <v>731</v>
      </c>
      <c r="O26" s="5" t="s">
        <v>652</v>
      </c>
    </row>
    <row r="27" customFormat="false" ht="15" hidden="false" customHeight="false" outlineLevel="0" collapsed="false">
      <c r="A27" s="5" t="s">
        <v>732</v>
      </c>
      <c r="B27" s="5" t="s">
        <v>38</v>
      </c>
      <c r="C27" s="5" t="s">
        <v>733</v>
      </c>
      <c r="D27" s="5"/>
      <c r="E27" s="14" t="n">
        <f aca="false">SUMIF(Fasteners!$A$2:$A$41,"#6x3/4 wood",Fasteners!$C$2:$C$41)</f>
        <v>4</v>
      </c>
      <c r="F27" s="5" t="s">
        <v>650</v>
      </c>
      <c r="G27" s="17" t="n">
        <v>25</v>
      </c>
      <c r="H27" s="21" t="n">
        <f aca="false">ROUNDUP(E27*(1+Summary!$C$8)/G27,0)</f>
        <v>1</v>
      </c>
      <c r="I27" s="25" t="n">
        <v>4</v>
      </c>
      <c r="J27" s="26" t="n">
        <f aca="false">H27*I27</f>
        <v>4</v>
      </c>
      <c r="K27" s="27"/>
      <c r="L27" s="26" t="n">
        <f aca="false">IF(OR(UPPER(K27)="Y",UPPER(K27)="O"),0,J27)</f>
        <v>4</v>
      </c>
      <c r="M27" s="5" t="s">
        <v>16</v>
      </c>
      <c r="N27" s="5" t="s">
        <v>734</v>
      </c>
      <c r="O27" s="5" t="s">
        <v>652</v>
      </c>
    </row>
    <row r="28" customFormat="false" ht="15" hidden="false" customHeight="false" outlineLevel="0" collapsed="false">
      <c r="A28" s="5" t="s">
        <v>735</v>
      </c>
      <c r="B28" s="5" t="s">
        <v>38</v>
      </c>
      <c r="C28" s="5" t="s">
        <v>736</v>
      </c>
      <c r="D28" s="5" t="s">
        <v>737</v>
      </c>
      <c r="E28" s="17" t="n">
        <v>1</v>
      </c>
      <c r="F28" s="5" t="s">
        <v>738</v>
      </c>
      <c r="G28" s="17" t="n">
        <v>1</v>
      </c>
      <c r="H28" s="21" t="n">
        <f aca="false">ROUNDUP(E28/G28,0)</f>
        <v>1</v>
      </c>
      <c r="I28" s="25" t="n">
        <v>12</v>
      </c>
      <c r="J28" s="26" t="n">
        <f aca="false">H28*I28</f>
        <v>12</v>
      </c>
      <c r="K28" s="27" t="inlineStr">
        <is>
          <t>Y</t>
        </is>
      </c>
      <c r="L28" s="26" t="n">
        <f aca="false">IF(OR(UPPER(K28)="Y",UPPER(K28)="O"),0,J28)</f>
        <v>12</v>
      </c>
      <c r="M28" s="5" t="s">
        <v>16</v>
      </c>
      <c r="N28" s="5" t="inlineStr">
        <is>
          <t xml:space="preserve">P4 board, camera, JB modules</t>
        </is>
      </c>
      <c r="O28" s="5" t="s">
        <v>652</v>
      </c>
    </row>
    <row r="29" customFormat="false" ht="23.85" hidden="false" customHeight="false" outlineLevel="0" collapsed="false">
      <c r="A29" s="5" t="s">
        <v>740</v>
      </c>
      <c r="B29" s="5" t="s">
        <v>38</v>
      </c>
      <c r="C29" s="5" t="s">
        <v>741</v>
      </c>
      <c r="D29" s="5" t="s">
        <v>742</v>
      </c>
      <c r="E29" s="17" t="n">
        <v>1</v>
      </c>
      <c r="F29" s="5" t="s">
        <v>743</v>
      </c>
      <c r="G29" s="17" t="n">
        <v>1</v>
      </c>
      <c r="H29" s="21" t="n">
        <f aca="false">ROUNDUP(E29/G29,0)</f>
        <v>1</v>
      </c>
      <c r="I29" s="25" t="n">
        <v>8</v>
      </c>
      <c r="J29" s="26" t="n">
        <f aca="false">H29*I29</f>
        <v>8</v>
      </c>
      <c r="K29" s="27"/>
      <c r="L29" s="26" t="n">
        <f aca="false">IF(OR(UPPER(K29)="Y",UPPER(K29)="O"),0,J29)</f>
        <v>8</v>
      </c>
      <c r="M29" s="5" t="s">
        <v>16</v>
      </c>
      <c r="N29" s="5" t="s">
        <v>744</v>
      </c>
      <c r="O29" s="5" t="s">
        <v>745</v>
      </c>
    </row>
    <row r="30" customFormat="false" ht="23.85" hidden="false" customHeight="false" outlineLevel="0" collapsed="false">
      <c r="A30" s="5" t="s">
        <v>746</v>
      </c>
      <c r="B30" s="5" t="s">
        <v>38</v>
      </c>
      <c r="C30" s="5" t="s">
        <v>747</v>
      </c>
      <c r="D30" s="5" t="s">
        <v>748</v>
      </c>
      <c r="E30" s="17" t="n">
        <v>2</v>
      </c>
      <c r="F30" s="5" t="s">
        <v>650</v>
      </c>
      <c r="G30" s="17" t="n">
        <v>2</v>
      </c>
      <c r="H30" s="21" t="n">
        <f aca="false">ROUNDUP(E30/G30,0)</f>
        <v>1</v>
      </c>
      <c r="I30" s="25" t="n">
        <v>10</v>
      </c>
      <c r="J30" s="26" t="n">
        <f aca="false">H30*I30</f>
        <v>10</v>
      </c>
      <c r="K30" s="27"/>
      <c r="L30" s="26" t="n">
        <f aca="false">IF(OR(UPPER(K30)="Y",UPPER(K30)="O"),0,J30)</f>
        <v>10</v>
      </c>
      <c r="M30" s="5" t="s">
        <v>16</v>
      </c>
      <c r="N30" s="5" t="s">
        <v>749</v>
      </c>
      <c r="O30" s="5" t="s">
        <v>745</v>
      </c>
    </row>
    <row r="31" customFormat="false" ht="23.85" hidden="false" customHeight="false" outlineLevel="0" collapsed="false">
      <c r="A31" s="5" t="s">
        <v>750</v>
      </c>
      <c r="B31" s="5" t="s">
        <v>39</v>
      </c>
      <c r="C31" s="5" t="s">
        <v>751</v>
      </c>
      <c r="D31" s="5" t="s">
        <v>752</v>
      </c>
      <c r="E31" s="17" t="n">
        <v>1</v>
      </c>
      <c r="F31" s="5" t="s">
        <v>753</v>
      </c>
      <c r="G31" s="17" t="n">
        <v>1</v>
      </c>
      <c r="H31" s="21" t="n">
        <f aca="false">ROUNDUP(E31/G31,0)</f>
        <v>1</v>
      </c>
      <c r="I31" s="25" t="n">
        <v>42</v>
      </c>
      <c r="J31" s="26" t="n">
        <f aca="false">H31*I31</f>
        <v>42</v>
      </c>
      <c r="K31" s="27"/>
      <c r="L31" s="26" t="n">
        <f aca="false">IF(OR(UPPER(K31)="Y",UPPER(K31)="O"),0,J31)</f>
        <v>42</v>
      </c>
      <c r="M31" s="5" t="s">
        <v>16</v>
      </c>
      <c r="N31" s="5" t="s">
        <v>754</v>
      </c>
      <c r="O31" s="5" t="s">
        <v>755</v>
      </c>
    </row>
    <row r="32" customFormat="false" ht="23.85" hidden="false" customHeight="false" outlineLevel="0" collapsed="false">
      <c r="A32" s="5" t="s">
        <v>756</v>
      </c>
      <c r="B32" s="5" t="s">
        <v>39</v>
      </c>
      <c r="C32" s="5" t="s">
        <v>757</v>
      </c>
      <c r="D32" s="5"/>
      <c r="E32" s="17" t="n">
        <v>1</v>
      </c>
      <c r="F32" s="5" t="s">
        <v>753</v>
      </c>
      <c r="G32" s="17" t="n">
        <v>1</v>
      </c>
      <c r="H32" s="21" t="n">
        <f aca="false">ROUNDUP(E32/G32,0)</f>
        <v>1</v>
      </c>
      <c r="I32" s="25" t="n">
        <v>17</v>
      </c>
      <c r="J32" s="26" t="n">
        <f aca="false">H32*I32</f>
        <v>17</v>
      </c>
      <c r="K32" s="27"/>
      <c r="L32" s="26" t="n">
        <f aca="false">IF(OR(UPPER(K32)="Y",UPPER(K32)="O"),0,J32)</f>
        <v>17</v>
      </c>
      <c r="M32" s="5" t="s">
        <v>16</v>
      </c>
      <c r="N32" s="5" t="s">
        <v>758</v>
      </c>
      <c r="O32" s="5" t="s">
        <v>652</v>
      </c>
    </row>
    <row r="33" customFormat="false" ht="23.85" hidden="false" customHeight="false" outlineLevel="0" collapsed="false">
      <c r="A33" s="5" t="s">
        <v>759</v>
      </c>
      <c r="B33" s="5" t="s">
        <v>39</v>
      </c>
      <c r="C33" s="5" t="s">
        <v>760</v>
      </c>
      <c r="D33" s="5"/>
      <c r="E33" s="17" t="n">
        <v>1</v>
      </c>
      <c r="F33" s="5" t="s">
        <v>753</v>
      </c>
      <c r="G33" s="17" t="n">
        <v>1</v>
      </c>
      <c r="H33" s="21" t="n">
        <f aca="false">ROUNDUP(E33/G33,0)</f>
        <v>1</v>
      </c>
      <c r="I33" s="25" t="n">
        <v>9</v>
      </c>
      <c r="J33" s="26" t="n">
        <f aca="false">H33*I33</f>
        <v>9</v>
      </c>
      <c r="K33" s="27"/>
      <c r="L33" s="26" t="n">
        <f aca="false">IF(OR(UPPER(K33)="Y",UPPER(K33)="O"),0,J33)</f>
        <v>9</v>
      </c>
      <c r="M33" s="5" t="s">
        <v>16</v>
      </c>
      <c r="N33" s="5" t="s">
        <v>761</v>
      </c>
      <c r="O33" s="5" t="s">
        <v>652</v>
      </c>
    </row>
    <row r="34" customFormat="false" ht="15" hidden="false" customHeight="false" outlineLevel="0" collapsed="false">
      <c r="A34" s="5" t="s">
        <v>762</v>
      </c>
      <c r="B34" s="5" t="s">
        <v>39</v>
      </c>
      <c r="C34" s="5" t="s">
        <v>763</v>
      </c>
      <c r="D34" s="5" t="s">
        <v>764</v>
      </c>
      <c r="E34" s="17" t="n">
        <v>3</v>
      </c>
      <c r="F34" s="5" t="s">
        <v>765</v>
      </c>
      <c r="G34" s="17" t="n">
        <v>1</v>
      </c>
      <c r="H34" s="21" t="n">
        <f aca="false">ROUNDUP(E34/G34,0)</f>
        <v>3</v>
      </c>
      <c r="I34" s="25" t="n">
        <v>6</v>
      </c>
      <c r="J34" s="26" t="n">
        <f aca="false">H34*I34</f>
        <v>18</v>
      </c>
      <c r="K34" s="27"/>
      <c r="L34" s="26" t="n">
        <f aca="false">IF(OR(UPPER(K34)="Y",UPPER(K34)="O"),0,J34)</f>
        <v>18</v>
      </c>
      <c r="M34" s="5" t="s">
        <v>16</v>
      </c>
      <c r="N34" s="5" t="s">
        <v>766</v>
      </c>
      <c r="O34" s="5" t="s">
        <v>652</v>
      </c>
    </row>
    <row r="35" customFormat="false" ht="15" hidden="false" customHeight="false" outlineLevel="0" collapsed="false">
      <c r="A35" s="5" t="s">
        <v>767</v>
      </c>
      <c r="B35" s="5" t="s">
        <v>39</v>
      </c>
      <c r="C35" s="5" t="s">
        <v>768</v>
      </c>
      <c r="D35" s="5" t="s">
        <v>769</v>
      </c>
      <c r="E35" s="17" t="n">
        <v>1</v>
      </c>
      <c r="F35" s="5" t="s">
        <v>765</v>
      </c>
      <c r="G35" s="17" t="n">
        <v>1</v>
      </c>
      <c r="H35" s="21" t="n">
        <f aca="false">ROUNDUP(E35/G35,0)</f>
        <v>1</v>
      </c>
      <c r="I35" s="25" t="n">
        <v>3</v>
      </c>
      <c r="J35" s="26" t="n">
        <f aca="false">H35*I35</f>
        <v>3</v>
      </c>
      <c r="K35" s="27"/>
      <c r="L35" s="26" t="n">
        <f aca="false">IF(OR(UPPER(K35)="Y",UPPER(K35)="O"),0,J35)</f>
        <v>3</v>
      </c>
      <c r="M35" s="5" t="s">
        <v>16</v>
      </c>
      <c r="N35" s="5" t="s">
        <v>727</v>
      </c>
      <c r="O35" s="5" t="s">
        <v>652</v>
      </c>
    </row>
    <row r="36" customFormat="false" ht="15" hidden="false" customHeight="false" outlineLevel="0" collapsed="false">
      <c r="A36" s="5" t="s">
        <v>770</v>
      </c>
      <c r="B36" s="5" t="s">
        <v>39</v>
      </c>
      <c r="C36" s="5" t="s">
        <v>771</v>
      </c>
      <c r="D36" s="5"/>
      <c r="E36" s="17" t="n">
        <v>1</v>
      </c>
      <c r="F36" s="5" t="s">
        <v>650</v>
      </c>
      <c r="G36" s="17" t="n">
        <v>1</v>
      </c>
      <c r="H36" s="21" t="n">
        <f aca="false">ROUNDUP(E36/G36,0)</f>
        <v>1</v>
      </c>
      <c r="I36" s="25" t="n">
        <v>3</v>
      </c>
      <c r="J36" s="26" t="n">
        <f aca="false">H36*I36</f>
        <v>3</v>
      </c>
      <c r="K36" s="27"/>
      <c r="L36" s="26" t="n">
        <f aca="false">IF(OR(UPPER(K36)="Y",UPPER(K36)="O"),0,J36)</f>
        <v>3</v>
      </c>
      <c r="M36" s="5" t="s">
        <v>16</v>
      </c>
      <c r="N36" s="5" t="s">
        <v>772</v>
      </c>
      <c r="O36" s="5" t="s">
        <v>652</v>
      </c>
    </row>
    <row r="37" customFormat="false" ht="15" hidden="false" customHeight="false" outlineLevel="0" collapsed="false">
      <c r="A37" s="5" t="s">
        <v>773</v>
      </c>
      <c r="B37" s="5" t="s">
        <v>39</v>
      </c>
      <c r="C37" s="5" t="s">
        <v>774</v>
      </c>
      <c r="D37" s="5" t="s">
        <v>775</v>
      </c>
      <c r="E37" s="17" t="n">
        <v>1</v>
      </c>
      <c r="F37" s="5" t="s">
        <v>650</v>
      </c>
      <c r="G37" s="17" t="n">
        <v>1</v>
      </c>
      <c r="H37" s="21" t="n">
        <f aca="false">ROUNDUP(E37/G37,0)</f>
        <v>1</v>
      </c>
      <c r="I37" s="25" t="n">
        <v>12</v>
      </c>
      <c r="J37" s="26" t="n">
        <f aca="false">H37*I37</f>
        <v>12</v>
      </c>
      <c r="K37" s="27"/>
      <c r="L37" s="26" t="n">
        <f aca="false">IF(OR(UPPER(K37)="Y",UPPER(K37)="O"),0,J37)</f>
        <v>12</v>
      </c>
      <c r="M37" s="5" t="s">
        <v>16</v>
      </c>
      <c r="N37" s="5" t="s">
        <v>776</v>
      </c>
      <c r="O37" s="5" t="s">
        <v>652</v>
      </c>
    </row>
    <row r="38" customFormat="false" ht="15" hidden="false" customHeight="false" outlineLevel="0" collapsed="false">
      <c r="A38" s="5" t="s">
        <v>777</v>
      </c>
      <c r="B38" s="5" t="s">
        <v>39</v>
      </c>
      <c r="C38" s="5" t="s">
        <v>778</v>
      </c>
      <c r="D38" s="5" t="s">
        <v>779</v>
      </c>
      <c r="E38" s="17" t="n">
        <v>1</v>
      </c>
      <c r="F38" s="5" t="s">
        <v>780</v>
      </c>
      <c r="G38" s="17" t="n">
        <v>1</v>
      </c>
      <c r="H38" s="21" t="n">
        <f aca="false">ROUNDUP(E38/G38,0)</f>
        <v>1</v>
      </c>
      <c r="I38" s="25" t="n">
        <v>20</v>
      </c>
      <c r="J38" s="26" t="n">
        <f aca="false">H38*I38</f>
        <v>20</v>
      </c>
      <c r="K38" s="27"/>
      <c r="L38" s="26" t="n">
        <f aca="false">IF(OR(UPPER(K38)="Y",UPPER(K38)="O"),0,J38)</f>
        <v>20</v>
      </c>
      <c r="M38" s="5" t="s">
        <v>16</v>
      </c>
      <c r="N38" s="5" t="s">
        <v>781</v>
      </c>
      <c r="O38" s="5" t="s">
        <v>652</v>
      </c>
    </row>
    <row r="39" customFormat="false" ht="15" hidden="false" customHeight="false" outlineLevel="0" collapsed="false">
      <c r="A39" s="5" t="s">
        <v>782</v>
      </c>
      <c r="B39" s="5" t="s">
        <v>40</v>
      </c>
      <c r="C39" s="5" t="s">
        <v>783</v>
      </c>
      <c r="D39" s="5" t="s">
        <v>784</v>
      </c>
      <c r="E39" s="17" t="n">
        <v>1</v>
      </c>
      <c r="F39" s="5" t="s">
        <v>785</v>
      </c>
      <c r="G39" s="17" t="n">
        <v>1</v>
      </c>
      <c r="H39" s="21" t="n">
        <f aca="false">ROUNDUP(E39/G39,0)</f>
        <v>1</v>
      </c>
      <c r="I39" s="25" t="n">
        <v>40</v>
      </c>
      <c r="J39" s="26" t="n">
        <f aca="false">H39*I39</f>
        <v>40</v>
      </c>
      <c r="K39" s="27"/>
      <c r="L39" s="26" t="n">
        <f aca="false">IF(OR(UPPER(K39)="Y",UPPER(K39)="O"),0,J39)</f>
        <v>40</v>
      </c>
      <c r="M39" s="5" t="s">
        <v>16</v>
      </c>
      <c r="N39" s="5" t="s">
        <v>786</v>
      </c>
      <c r="O39" s="5" t="s">
        <v>787</v>
      </c>
    </row>
    <row r="40" customFormat="false" ht="23.85" hidden="false" customHeight="false" outlineLevel="0" collapsed="false">
      <c r="A40" s="5" t="s">
        <v>788</v>
      </c>
      <c r="B40" s="5" t="s">
        <v>40</v>
      </c>
      <c r="C40" s="5" t="s">
        <v>789</v>
      </c>
      <c r="D40" s="5" t="s">
        <v>790</v>
      </c>
      <c r="E40" s="17" t="n">
        <v>1</v>
      </c>
      <c r="F40" s="5" t="s">
        <v>785</v>
      </c>
      <c r="G40" s="17" t="n">
        <v>1</v>
      </c>
      <c r="H40" s="21" t="n">
        <f aca="false">ROUNDUP(E40/G40,0)</f>
        <v>1</v>
      </c>
      <c r="I40" s="25" t="n">
        <v>32</v>
      </c>
      <c r="J40" s="26" t="n">
        <f aca="false">H40*I40</f>
        <v>32</v>
      </c>
      <c r="K40" s="27"/>
      <c r="L40" s="26" t="n">
        <f aca="false">IF(OR(UPPER(K40)="Y",UPPER(K40)="O"),0,J40)</f>
        <v>32</v>
      </c>
      <c r="M40" s="5" t="s">
        <v>16</v>
      </c>
      <c r="N40" s="5" t="s">
        <v>791</v>
      </c>
      <c r="O40" s="5" t="s">
        <v>792</v>
      </c>
    </row>
    <row r="41" customFormat="false" ht="15" hidden="false" customHeight="false" outlineLevel="0" collapsed="false">
      <c r="A41" s="5" t="s">
        <v>793</v>
      </c>
      <c r="B41" s="5" t="s">
        <v>40</v>
      </c>
      <c r="C41" s="5" t="s">
        <v>794</v>
      </c>
      <c r="D41" s="5" t="s">
        <v>795</v>
      </c>
      <c r="E41" s="17" t="n">
        <v>1</v>
      </c>
      <c r="F41" s="5" t="s">
        <v>785</v>
      </c>
      <c r="G41" s="17" t="n">
        <v>1</v>
      </c>
      <c r="H41" s="21" t="n">
        <f aca="false">ROUNDUP(E41/G41,0)</f>
        <v>1</v>
      </c>
      <c r="I41" s="25" t="n">
        <v>22</v>
      </c>
      <c r="J41" s="26" t="n">
        <f aca="false">H41*I41</f>
        <v>22</v>
      </c>
      <c r="K41" s="27"/>
      <c r="L41" s="26" t="n">
        <f aca="false">IF(OR(UPPER(K41)="Y",UPPER(K41)="O"),0,J41)</f>
        <v>22</v>
      </c>
      <c r="M41" s="5" t="s">
        <v>16</v>
      </c>
      <c r="N41" s="5" t="s">
        <v>796</v>
      </c>
      <c r="O41" s="5" t="s">
        <v>792</v>
      </c>
    </row>
    <row r="42" customFormat="false" ht="23.85" hidden="false" customHeight="false" outlineLevel="0" collapsed="false">
      <c r="A42" s="5" t="s">
        <v>797</v>
      </c>
      <c r="B42" s="5" t="s">
        <v>40</v>
      </c>
      <c r="C42" s="5" t="s">
        <v>545</v>
      </c>
      <c r="D42" s="5" t="s">
        <v>798</v>
      </c>
      <c r="E42" s="17" t="n">
        <v>1</v>
      </c>
      <c r="F42" s="5" t="s">
        <v>785</v>
      </c>
      <c r="G42" s="17" t="n">
        <v>1</v>
      </c>
      <c r="H42" s="21" t="n">
        <f aca="false">ROUNDUP(E42/G42,0)</f>
        <v>1</v>
      </c>
      <c r="I42" s="25" t="n">
        <v>160</v>
      </c>
      <c r="J42" s="26" t="n">
        <f aca="false">H42*I42</f>
        <v>160</v>
      </c>
      <c r="K42" s="27"/>
      <c r="L42" s="26" t="n">
        <f aca="false">IF(OR(UPPER(K42)="Y",UPPER(K42)="O"),0,J42)</f>
        <v>160</v>
      </c>
      <c r="M42" s="5" t="s">
        <v>799</v>
      </c>
      <c r="N42" s="5" t="s">
        <v>800</v>
      </c>
      <c r="O42" s="5" t="s">
        <v>801</v>
      </c>
    </row>
    <row r="43" customFormat="false" ht="46.25" hidden="false" customHeight="false" outlineLevel="0" collapsed="false">
      <c r="A43" s="5" t="s">
        <v>802</v>
      </c>
      <c r="B43" s="5" t="s">
        <v>41</v>
      </c>
      <c r="C43" s="5" t="s">
        <v>803</v>
      </c>
      <c r="D43" s="5" t="s">
        <v>804</v>
      </c>
      <c r="E43" s="17" t="n">
        <v>1</v>
      </c>
      <c r="F43" s="5" t="s">
        <v>650</v>
      </c>
      <c r="G43" s="17" t="n">
        <v>1</v>
      </c>
      <c r="H43" s="21" t="n">
        <f aca="false">ROUNDUP(E43/G43,0)</f>
        <v>1</v>
      </c>
      <c r="I43" s="25" t="n">
        <v>28</v>
      </c>
      <c r="J43" s="26" t="n">
        <f aca="false">H43*I43</f>
        <v>28</v>
      </c>
      <c r="K43" s="27" t="inlineStr">
        <is>
          <t xml:space="preserve">O</t>
        </is>
      </c>
      <c r="L43" s="26" t="n">
        <f aca="false">IF(OR(UPPER(K43)="Y",UPPER(K43)="O"),0,J43)</f>
        <v>28</v>
      </c>
      <c r="M43" s="5" t="s">
        <v>16</v>
      </c>
      <c r="N43" s="5" t="s">
        <v>805</v>
      </c>
      <c r="O43" s="5" t="s">
        <v>806</v>
      </c>
    </row>
    <row r="44" customFormat="false" ht="15" hidden="false" customHeight="false" outlineLevel="0" collapsed="false">
      <c r="A44" s="5" t="s">
        <v>807</v>
      </c>
      <c r="B44" s="5" t="s">
        <v>41</v>
      </c>
      <c r="C44" s="5" t="inlineStr">
        <is>
          <t xml:space="preserve">ESP32 dev board, 38-pin (HiLetgo, ESP-WROOM-32)</t>
        </is>
      </c>
      <c r="D44" s="5"/>
      <c r="E44" s="17" t="n">
        <v>1</v>
      </c>
      <c r="F44" s="5" t="s">
        <v>650</v>
      </c>
      <c r="G44" s="17" t="n">
        <v>1</v>
      </c>
      <c r="H44" s="21" t="n">
        <f aca="false">ROUNDUP(E44/G44,0)</f>
        <v>1</v>
      </c>
      <c r="I44" s="25" t="n">
        <v>8</v>
      </c>
      <c r="J44" s="26" t="n">
        <f aca="false">H44*I44</f>
        <v>8</v>
      </c>
      <c r="K44" s="27" t="inlineStr">
        <is>
          <t>Y</t>
        </is>
      </c>
      <c r="L44" s="26" t="n">
        <f aca="false">IF(OR(UPPER(K44)="Y",UPPER(K44)="O"),0,J44)</f>
        <v>8</v>
      </c>
      <c r="M44" s="5" t="s">
        <v>16</v>
      </c>
      <c r="N44" s="5" t="s">
        <v>809</v>
      </c>
      <c r="O44" s="5" t="s">
        <v>652</v>
      </c>
    </row>
    <row r="45" customFormat="false" ht="23.85" hidden="false" customHeight="false" outlineLevel="0" collapsed="false">
      <c r="A45" s="5" t="s">
        <v>810</v>
      </c>
      <c r="B45" s="5" t="s">
        <v>41</v>
      </c>
      <c r="C45" s="5" t="inlineStr">
        <is>
          <t xml:space="preserve">ESP32 38-pin screw-terminal breakout</t>
        </is>
      </c>
      <c r="D45" s="5" t="inlineStr">
        <is>
          <t xml:space="preserve">must fit a 38-pin board: match pin-row spacing (usually 25.4 mm); size per listing</t>
        </is>
      </c>
      <c r="E45" s="17" t="n">
        <v>1</v>
      </c>
      <c r="F45" s="5" t="s">
        <v>650</v>
      </c>
      <c r="G45" s="17" t="n">
        <v>1</v>
      </c>
      <c r="H45" s="21" t="n">
        <f aca="false">ROUNDUP(E45/G45,0)</f>
        <v>1</v>
      </c>
      <c r="I45" s="25" t="n">
        <v>8</v>
      </c>
      <c r="J45" s="26" t="n">
        <f aca="false">H45*I45</f>
        <v>8</v>
      </c>
      <c r="K45" s="27" t="inlineStr">
        <is>
          <t>Y</t>
        </is>
      </c>
      <c r="L45" s="26" t="n">
        <f aca="false">IF(OR(UPPER(K45)="Y",UPPER(K45)="O"),0,J45)</f>
        <v>8</v>
      </c>
      <c r="M45" s="5" t="s">
        <v>16</v>
      </c>
      <c r="N45" s="5"/>
      <c r="O45" s="5" t="s">
        <v>652</v>
      </c>
    </row>
    <row r="46" customFormat="false" ht="15" hidden="false" customHeight="false" outlineLevel="0" collapsed="false">
      <c r="A46" s="5" t="s">
        <v>813</v>
      </c>
      <c r="B46" s="5" t="s">
        <v>41</v>
      </c>
      <c r="C46" s="5" t="s">
        <v>814</v>
      </c>
      <c r="D46" s="5"/>
      <c r="E46" s="17" t="n">
        <v>1</v>
      </c>
      <c r="F46" s="5" t="s">
        <v>650</v>
      </c>
      <c r="G46" s="17" t="n">
        <v>1</v>
      </c>
      <c r="H46" s="21" t="n">
        <f aca="false">ROUNDUP(E46/G46,0)</f>
        <v>1</v>
      </c>
      <c r="I46" s="25" t="n">
        <v>5</v>
      </c>
      <c r="J46" s="26" t="n">
        <f aca="false">H46*I46</f>
        <v>5</v>
      </c>
      <c r="K46" s="27" t="inlineStr">
        <is>
          <t>Y</t>
        </is>
      </c>
      <c r="L46" s="26" t="n">
        <f aca="false">IF(OR(UPPER(K46)="Y",UPPER(K46)="O"),0,J46)</f>
        <v>5</v>
      </c>
      <c r="M46" s="5" t="s">
        <v>16</v>
      </c>
      <c r="N46" s="5" t="s">
        <v>815</v>
      </c>
      <c r="O46" s="5" t="s">
        <v>652</v>
      </c>
    </row>
    <row r="47" customFormat="false" ht="15" hidden="false" customHeight="false" outlineLevel="0" collapsed="false">
      <c r="A47" s="5" t="s">
        <v>816</v>
      </c>
      <c r="B47" s="5" t="s">
        <v>41</v>
      </c>
      <c r="C47" s="5" t="s">
        <v>817</v>
      </c>
      <c r="D47" s="5" t="s">
        <v>818</v>
      </c>
      <c r="E47" s="17" t="n">
        <v>1</v>
      </c>
      <c r="F47" s="5" t="s">
        <v>650</v>
      </c>
      <c r="G47" s="17" t="n">
        <v>1</v>
      </c>
      <c r="H47" s="21" t="n">
        <f aca="false">ROUNDUP(E47/G47,0)</f>
        <v>1</v>
      </c>
      <c r="I47" s="25" t="n">
        <v>5</v>
      </c>
      <c r="J47" s="26" t="n">
        <f aca="false">H47*I47</f>
        <v>5</v>
      </c>
      <c r="K47" s="27" t="inlineStr">
        <is>
          <t>Y</t>
        </is>
      </c>
      <c r="L47" s="26" t="n">
        <f aca="false">IF(OR(UPPER(K47)="Y",UPPER(K47)="O"),0,J47)</f>
        <v>5</v>
      </c>
      <c r="M47" s="5" t="s">
        <v>16</v>
      </c>
      <c r="N47" s="5" t="s">
        <v>819</v>
      </c>
      <c r="O47" s="5" t="s">
        <v>652</v>
      </c>
    </row>
    <row r="48" customFormat="false" ht="23.85" hidden="false" customHeight="false" outlineLevel="0" collapsed="false">
      <c r="A48" s="5" t="s">
        <v>820</v>
      </c>
      <c r="B48" s="5" t="s">
        <v>41</v>
      </c>
      <c r="C48" s="5" t="s">
        <v>821</v>
      </c>
      <c r="D48" s="5" t="s">
        <v>822</v>
      </c>
      <c r="E48" s="17" t="n">
        <v>2</v>
      </c>
      <c r="F48" s="5" t="s">
        <v>650</v>
      </c>
      <c r="G48" s="17" t="n">
        <v>5</v>
      </c>
      <c r="H48" s="21" t="n">
        <f aca="false">ROUNDUP(E48/G48,0)</f>
        <v>1</v>
      </c>
      <c r="I48" s="25" t="n">
        <v>9</v>
      </c>
      <c r="J48" s="26" t="n">
        <f aca="false">H48*I48</f>
        <v>9</v>
      </c>
      <c r="K48" s="27" t="inlineStr">
        <is>
          <t>Y</t>
        </is>
      </c>
      <c r="L48" s="26" t="n">
        <f aca="false">IF(OR(UPPER(K48)="Y",UPPER(K48)="O"),0,J48)</f>
        <v>9</v>
      </c>
      <c r="M48" s="5" t="s">
        <v>16</v>
      </c>
      <c r="N48" s="5" t="s">
        <v>823</v>
      </c>
      <c r="O48" s="5" t="s">
        <v>824</v>
      </c>
    </row>
    <row r="49" customFormat="false" ht="23.85" hidden="false" customHeight="false" outlineLevel="0" collapsed="false">
      <c r="A49" s="5" t="s">
        <v>825</v>
      </c>
      <c r="B49" s="5" t="s">
        <v>41</v>
      </c>
      <c r="C49" s="5" t="s">
        <v>826</v>
      </c>
      <c r="D49" s="5" t="s">
        <v>827</v>
      </c>
      <c r="E49" s="17" t="n">
        <v>1</v>
      </c>
      <c r="F49" s="5" t="s">
        <v>650</v>
      </c>
      <c r="G49" s="17" t="n">
        <v>1</v>
      </c>
      <c r="H49" s="21" t="n">
        <f aca="false">ROUNDUP(E49/G49,0)</f>
        <v>1</v>
      </c>
      <c r="I49" s="25" t="n">
        <v>6</v>
      </c>
      <c r="J49" s="26" t="n">
        <f aca="false">H49*I49</f>
        <v>6</v>
      </c>
      <c r="K49" s="27" t="inlineStr">
        <is>
          <t>Y</t>
        </is>
      </c>
      <c r="L49" s="26" t="n">
        <f aca="false">IF(OR(UPPER(K49)="Y",UPPER(K49)="O"),0,J49)</f>
        <v>6</v>
      </c>
      <c r="M49" s="5" t="s">
        <v>16</v>
      </c>
      <c r="N49" s="5" t="s">
        <v>828</v>
      </c>
      <c r="O49" s="5" t="s">
        <v>652</v>
      </c>
    </row>
    <row r="50" customFormat="false" ht="35.05" hidden="false" customHeight="false" outlineLevel="0" collapsed="false">
      <c r="A50" s="5" t="s">
        <v>829</v>
      </c>
      <c r="B50" s="5" t="s">
        <v>41</v>
      </c>
      <c r="C50" s="5" t="s">
        <v>830</v>
      </c>
      <c r="D50" s="5" t="s">
        <v>831</v>
      </c>
      <c r="E50" s="17" t="n">
        <v>1</v>
      </c>
      <c r="F50" s="5" t="s">
        <v>650</v>
      </c>
      <c r="G50" s="17" t="n">
        <v>1</v>
      </c>
      <c r="H50" s="21" t="n">
        <f aca="false">ROUNDUP(E50/G50,0)</f>
        <v>1</v>
      </c>
      <c r="I50" s="25" t="n">
        <v>10</v>
      </c>
      <c r="J50" s="26" t="n">
        <f aca="false">H50*I50</f>
        <v>10</v>
      </c>
      <c r="K50" s="27" t="inlineStr">
        <is>
          <t>Y</t>
        </is>
      </c>
      <c r="L50" s="26" t="n">
        <f aca="false">IF(OR(UPPER(K50)="Y",UPPER(K50)="O"),0,J50)</f>
        <v>10</v>
      </c>
      <c r="M50" s="5" t="s">
        <v>16</v>
      </c>
      <c r="N50" s="5" t="s">
        <v>832</v>
      </c>
      <c r="O50" s="5" t="s">
        <v>833</v>
      </c>
    </row>
    <row r="51" customFormat="false" ht="23.85" hidden="false" customHeight="false" outlineLevel="0" collapsed="false">
      <c r="A51" s="5" t="s">
        <v>834</v>
      </c>
      <c r="B51" s="5" t="s">
        <v>41</v>
      </c>
      <c r="C51" s="5" t="s">
        <v>835</v>
      </c>
      <c r="D51" s="5"/>
      <c r="E51" s="17" t="n">
        <v>10</v>
      </c>
      <c r="F51" s="5" t="s">
        <v>650</v>
      </c>
      <c r="G51" s="17" t="n">
        <v>10</v>
      </c>
      <c r="H51" s="21" t="n">
        <f aca="false">ROUNDUP(E51/G51,0)</f>
        <v>1</v>
      </c>
      <c r="I51" s="25" t="n">
        <v>15</v>
      </c>
      <c r="J51" s="26" t="n">
        <f aca="false">H51*I51</f>
        <v>15</v>
      </c>
      <c r="K51" s="27" t="inlineStr">
        <is>
          <t>Y</t>
        </is>
      </c>
      <c r="L51" s="26" t="n">
        <f aca="false">IF(OR(UPPER(K51)="Y",UPPER(K51)="O"),0,J51)</f>
        <v>15</v>
      </c>
      <c r="M51" s="5" t="s">
        <v>16</v>
      </c>
      <c r="N51" s="5" t="s">
        <v>836</v>
      </c>
      <c r="O51" s="5" t="s">
        <v>837</v>
      </c>
    </row>
    <row r="52" customFormat="false" ht="35.05" hidden="false" customHeight="false" outlineLevel="0" collapsed="false">
      <c r="A52" s="5" t="s">
        <v>838</v>
      </c>
      <c r="B52" s="5" t="s">
        <v>41</v>
      </c>
      <c r="C52" s="5" t="s">
        <v>839</v>
      </c>
      <c r="D52" s="5"/>
      <c r="E52" s="17" t="n">
        <v>2</v>
      </c>
      <c r="F52" s="5" t="s">
        <v>650</v>
      </c>
      <c r="G52" s="17" t="n">
        <v>2</v>
      </c>
      <c r="H52" s="21" t="n">
        <f aca="false">ROUNDUP(E52/G52,0)</f>
        <v>1</v>
      </c>
      <c r="I52" s="25" t="n">
        <v>7</v>
      </c>
      <c r="J52" s="26" t="n">
        <f aca="false">H52*I52</f>
        <v>7</v>
      </c>
      <c r="K52" s="27" t="inlineStr">
        <is>
          <t>Y</t>
        </is>
      </c>
      <c r="L52" s="26" t="n">
        <f aca="false">IF(OR(UPPER(K52)="Y",UPPER(K52)="O"),0,J52)</f>
        <v>7</v>
      </c>
      <c r="M52" s="5" t="s">
        <v>16</v>
      </c>
      <c r="N52" s="5" t="s">
        <v>840</v>
      </c>
      <c r="O52" s="5" t="s">
        <v>841</v>
      </c>
    </row>
    <row r="53" customFormat="false" ht="15" hidden="false" customHeight="false" outlineLevel="0" collapsed="false">
      <c r="A53" s="5" t="s">
        <v>842</v>
      </c>
      <c r="B53" s="5" t="s">
        <v>41</v>
      </c>
      <c r="C53" s="5" t="s">
        <v>843</v>
      </c>
      <c r="D53" s="5" t="s">
        <v>844</v>
      </c>
      <c r="E53" s="17" t="n">
        <v>1</v>
      </c>
      <c r="F53" s="5" t="s">
        <v>738</v>
      </c>
      <c r="G53" s="17" t="n">
        <v>1</v>
      </c>
      <c r="H53" s="21" t="n">
        <f aca="false">ROUNDUP(E53/G53,0)</f>
        <v>1</v>
      </c>
      <c r="I53" s="25" t="n">
        <v>6</v>
      </c>
      <c r="J53" s="26" t="n">
        <f aca="false">H53*I53</f>
        <v>6</v>
      </c>
      <c r="K53" s="27" t="inlineStr">
        <is>
          <t>Y</t>
        </is>
      </c>
      <c r="L53" s="26" t="n">
        <f aca="false">IF(OR(UPPER(K53)="Y",UPPER(K53)="O"),0,J53)</f>
        <v>6</v>
      </c>
      <c r="M53" s="5" t="s">
        <v>16</v>
      </c>
      <c r="N53" s="5"/>
      <c r="O53" s="5" t="s">
        <v>652</v>
      </c>
    </row>
    <row r="54" customFormat="false" ht="15" hidden="false" customHeight="false" outlineLevel="0" collapsed="false">
      <c r="A54" s="5" t="s">
        <v>845</v>
      </c>
      <c r="B54" s="5" t="s">
        <v>41</v>
      </c>
      <c r="C54" s="5" t="s">
        <v>846</v>
      </c>
      <c r="D54" s="5" t="s">
        <v>847</v>
      </c>
      <c r="E54" s="17" t="n">
        <v>1</v>
      </c>
      <c r="F54" s="5" t="s">
        <v>848</v>
      </c>
      <c r="G54" s="17" t="n">
        <v>1</v>
      </c>
      <c r="H54" s="21" t="n">
        <f aca="false">ROUNDUP(E54/G54,0)</f>
        <v>1</v>
      </c>
      <c r="I54" s="25" t="n">
        <v>4</v>
      </c>
      <c r="J54" s="26" t="n">
        <f aca="false">H54*I54</f>
        <v>4</v>
      </c>
      <c r="K54" s="27" t="inlineStr">
        <is>
          <t>Y</t>
        </is>
      </c>
      <c r="L54" s="26" t="n">
        <f aca="false">IF(OR(UPPER(K54)="Y",UPPER(K54)="O"),0,J54)</f>
        <v>4</v>
      </c>
      <c r="M54" s="5" t="s">
        <v>16</v>
      </c>
      <c r="N54" s="5" t="s">
        <v>849</v>
      </c>
      <c r="O54" s="5" t="s">
        <v>652</v>
      </c>
    </row>
    <row r="55" customFormat="false" ht="23.85" hidden="false" customHeight="false" outlineLevel="0" collapsed="false">
      <c r="A55" s="5" t="s">
        <v>850</v>
      </c>
      <c r="B55" s="5" t="s">
        <v>41</v>
      </c>
      <c r="C55" s="5" t="s">
        <v>851</v>
      </c>
      <c r="D55" s="5" t="s">
        <v>852</v>
      </c>
      <c r="E55" s="17" t="n">
        <v>1</v>
      </c>
      <c r="F55" s="5" t="s">
        <v>738</v>
      </c>
      <c r="G55" s="17" t="n">
        <v>1</v>
      </c>
      <c r="H55" s="21" t="n">
        <f aca="false">ROUNDUP(E55/G55,0)</f>
        <v>1</v>
      </c>
      <c r="I55" s="25" t="n">
        <v>7</v>
      </c>
      <c r="J55" s="26" t="n">
        <f aca="false">H55*I55</f>
        <v>7</v>
      </c>
      <c r="K55" s="27" t="inlineStr">
        <is>
          <t xml:space="preserve">Y</t>
        </is>
      </c>
      <c r="L55" s="26" t="n">
        <f aca="false">IF(OR(UPPER(K55)="Y",UPPER(K55)="O"),0,J55)</f>
        <v>7</v>
      </c>
      <c r="M55" s="5" t="s">
        <v>16</v>
      </c>
      <c r="N55" s="5" t="s">
        <v>853</v>
      </c>
      <c r="O55" s="5" t="s">
        <v>652</v>
      </c>
    </row>
    <row r="56" customFormat="false" ht="15" hidden="false" customHeight="false" outlineLevel="0" collapsed="false">
      <c r="A56" s="5" t="s">
        <v>854</v>
      </c>
      <c r="B56" s="5" t="s">
        <v>41</v>
      </c>
      <c r="C56" s="5" t="s">
        <v>855</v>
      </c>
      <c r="D56" s="5" t="s">
        <v>856</v>
      </c>
      <c r="E56" s="17" t="n">
        <v>1</v>
      </c>
      <c r="F56" s="5" t="s">
        <v>738</v>
      </c>
      <c r="G56" s="17" t="n">
        <v>1</v>
      </c>
      <c r="H56" s="21" t="n">
        <f aca="false">ROUNDUP(E56/G56,0)</f>
        <v>1</v>
      </c>
      <c r="I56" s="25" t="n">
        <v>8</v>
      </c>
      <c r="J56" s="26" t="n">
        <f aca="false">H56*I56</f>
        <v>8</v>
      </c>
      <c r="K56" s="27" t="inlineStr">
        <is>
          <t>Y</t>
        </is>
      </c>
      <c r="L56" s="26" t="n">
        <f aca="false">IF(OR(UPPER(K56)="Y",UPPER(K56)="O"),0,J56)</f>
        <v>8</v>
      </c>
      <c r="M56" s="5" t="s">
        <v>16</v>
      </c>
      <c r="N56" s="5" t="s">
        <v>857</v>
      </c>
      <c r="O56" s="5" t="s">
        <v>652</v>
      </c>
    </row>
    <row r="57" customFormat="false" ht="23.85" hidden="false" customHeight="false" outlineLevel="0" collapsed="false">
      <c r="A57" s="5" t="s">
        <v>858</v>
      </c>
      <c r="B57" s="5" t="s">
        <v>41</v>
      </c>
      <c r="C57" s="5" t="s">
        <v>859</v>
      </c>
      <c r="D57" s="5" t="s">
        <v>860</v>
      </c>
      <c r="E57" s="17" t="n">
        <v>1</v>
      </c>
      <c r="F57" s="5" t="s">
        <v>650</v>
      </c>
      <c r="G57" s="17" t="n">
        <v>1</v>
      </c>
      <c r="H57" s="21" t="n">
        <f aca="false">ROUNDUP(E57/G57,0)</f>
        <v>1</v>
      </c>
      <c r="I57" s="25" t="n">
        <v>7</v>
      </c>
      <c r="J57" s="26" t="n">
        <f aca="false">H57*I57</f>
        <v>7</v>
      </c>
      <c r="K57" s="27"/>
      <c r="L57" s="26" t="n">
        <f aca="false">IF(OR(UPPER(K57)="Y",UPPER(K57)="O"),0,J57)</f>
        <v>7</v>
      </c>
      <c r="M57" s="5" t="s">
        <v>16</v>
      </c>
      <c r="N57" s="5" t="s">
        <v>861</v>
      </c>
      <c r="O57" s="5" t="s">
        <v>862</v>
      </c>
    </row>
    <row r="58" customFormat="false" ht="15" hidden="false" customHeight="false" outlineLevel="0" collapsed="false">
      <c r="A58" s="5" t="s">
        <v>863</v>
      </c>
      <c r="B58" s="5" t="s">
        <v>41</v>
      </c>
      <c r="C58" s="5" t="s">
        <v>864</v>
      </c>
      <c r="D58" s="5" t="s">
        <v>865</v>
      </c>
      <c r="E58" s="17" t="n">
        <v>2</v>
      </c>
      <c r="F58" s="5" t="s">
        <v>650</v>
      </c>
      <c r="G58" s="17" t="n">
        <v>2</v>
      </c>
      <c r="H58" s="21" t="n">
        <f aca="false">ROUNDUP(E58/G58,0)</f>
        <v>1</v>
      </c>
      <c r="I58" s="25" t="n">
        <v>7</v>
      </c>
      <c r="J58" s="26" t="n">
        <f aca="false">H58*I58</f>
        <v>7</v>
      </c>
      <c r="K58" s="27"/>
      <c r="L58" s="26" t="n">
        <f aca="false">IF(OR(UPPER(K58)="Y",UPPER(K58)="O"),0,J58)</f>
        <v>7</v>
      </c>
      <c r="M58" s="5" t="s">
        <v>16</v>
      </c>
      <c r="N58" s="5" t="s">
        <v>866</v>
      </c>
      <c r="O58" s="5" t="s">
        <v>652</v>
      </c>
    </row>
    <row r="59" customFormat="false" ht="15" hidden="false" customHeight="false" outlineLevel="0" collapsed="false">
      <c r="A59" s="5" t="s">
        <v>867</v>
      </c>
      <c r="B59" s="5" t="s">
        <v>41</v>
      </c>
      <c r="C59" s="5" t="s">
        <v>868</v>
      </c>
      <c r="D59" s="5" t="s">
        <v>869</v>
      </c>
      <c r="E59" s="17" t="n">
        <v>1</v>
      </c>
      <c r="F59" s="5" t="s">
        <v>650</v>
      </c>
      <c r="G59" s="17" t="n">
        <v>1</v>
      </c>
      <c r="H59" s="21" t="n">
        <f aca="false">ROUNDUP(E59/G59,0)</f>
        <v>1</v>
      </c>
      <c r="I59" s="25" t="n">
        <v>25</v>
      </c>
      <c r="J59" s="26" t="n">
        <f aca="false">H59*I59</f>
        <v>25</v>
      </c>
      <c r="K59" s="27" t="inlineStr">
        <is>
          <t xml:space="preserve">O</t>
        </is>
      </c>
      <c r="L59" s="26" t="n">
        <f aca="false">IF(OR(UPPER(K59)="Y",UPPER(K59)="O"),0,J59)</f>
        <v>25</v>
      </c>
      <c r="M59" s="5" t="s">
        <v>18</v>
      </c>
      <c r="N59" s="5" t="s">
        <v>870</v>
      </c>
      <c r="O59" s="5" t="s">
        <v>871</v>
      </c>
    </row>
    <row r="60" customFormat="false" ht="15" hidden="false" customHeight="false" outlineLevel="0" collapsed="false">
      <c r="A60" s="5" t="s">
        <v>872</v>
      </c>
      <c r="B60" s="5" t="s">
        <v>41</v>
      </c>
      <c r="C60" s="5" t="s">
        <v>873</v>
      </c>
      <c r="D60" s="5" t="inlineStr">
        <is>
          <t xml:space="preserve">Blues MBNAN: LTE Cat-1 bis, North America (the LTE-M NBNAN is quote-only, MOQ 250)</t>
        </is>
      </c>
      <c r="E60" s="17" t="n">
        <v>1</v>
      </c>
      <c r="F60" s="5" t="s">
        <v>650</v>
      </c>
      <c r="G60" s="17" t="n">
        <v>1</v>
      </c>
      <c r="H60" s="21" t="n">
        <f aca="false">ROUNDUP(E60/G60,0)</f>
        <v>1</v>
      </c>
      <c r="I60" s="25" t="n">
        <v>49</v>
      </c>
      <c r="J60" s="26" t="n">
        <f aca="false">H60*I60</f>
        <v>49</v>
      </c>
      <c r="K60" s="27" t="inlineStr">
        <is>
          <t xml:space="preserve">O</t>
        </is>
      </c>
      <c r="L60" s="26" t="n">
        <f aca="false">IF(OR(UPPER(K60)="Y",UPPER(K60)="O"),0,J60)</f>
        <v>49</v>
      </c>
      <c r="M60" s="5" t="s">
        <v>18</v>
      </c>
      <c r="N60" s="5" t="s">
        <v>870</v>
      </c>
      <c r="O60" s="5" t="inlineStr">
        <is>
          <t xml:space="preserve">shop.blues.com $49.00 (MBNAN), Oct 2026. Includes 10 years / 500 MB.</t>
        </is>
      </c>
    </row>
    <row r="61" customFormat="false" ht="23.85" hidden="false" customHeight="false" outlineLevel="0" collapsed="false">
      <c r="A61" s="5" t="s">
        <v>875</v>
      </c>
      <c r="B61" s="5" t="s">
        <v>42</v>
      </c>
      <c r="C61" s="5" t="s">
        <v>876</v>
      </c>
      <c r="D61" s="5" t="s">
        <v>877</v>
      </c>
      <c r="E61" s="17" t="n">
        <v>1</v>
      </c>
      <c r="F61" s="5" t="s">
        <v>650</v>
      </c>
      <c r="G61" s="17" t="n">
        <v>1</v>
      </c>
      <c r="H61" s="21" t="n">
        <f aca="false">ROUNDUP(E61/G61,0)</f>
        <v>1</v>
      </c>
      <c r="I61" s="25" t="n">
        <v>12</v>
      </c>
      <c r="J61" s="26" t="n">
        <f aca="false">H61*I61</f>
        <v>12</v>
      </c>
      <c r="K61" s="27" t="inlineStr">
        <is>
          <t>Y</t>
        </is>
      </c>
      <c r="L61" s="26" t="n">
        <f aca="false">IF(OR(UPPER(K61)="Y",UPPER(K61)="O"),0,J61)</f>
        <v>12</v>
      </c>
      <c r="M61" s="5" t="s">
        <v>16</v>
      </c>
      <c r="N61" s="5" t="s">
        <v>878</v>
      </c>
      <c r="O61" s="5" t="s">
        <v>652</v>
      </c>
    </row>
    <row r="62" customFormat="false" ht="15" hidden="false" customHeight="false" outlineLevel="0" collapsed="false">
      <c r="A62" s="5" t="s">
        <v>879</v>
      </c>
      <c r="B62" s="5" t="s">
        <v>42</v>
      </c>
      <c r="C62" s="5" t="inlineStr">
        <is>
          <t xml:space="preserve">Waveshare ESP32-P4-NANO (basic kit)</t>
        </is>
      </c>
      <c r="D62" s="5" t="inlineStr">
        <is>
          <t xml:space="preserve">ESP32-P4, 32 MB PSRAM, standard 15-pin Pi camera connector, microSD, 50 x 50 mm</t>
        </is>
      </c>
      <c r="E62" s="17" t="n">
        <v>1</v>
      </c>
      <c r="F62" s="5" t="s">
        <v>650</v>
      </c>
      <c r="G62" s="17" t="n">
        <v>1</v>
      </c>
      <c r="H62" s="21" t="n">
        <f aca="false">ROUNDUP(E62/G62,0)</f>
        <v>1</v>
      </c>
      <c r="I62" s="25" t="n">
        <v>19</v>
      </c>
      <c r="J62" s="26" t="n">
        <f aca="false">H62*I62</f>
        <v>20</v>
      </c>
      <c r="K62" s="27" t="inlineStr">
        <is>
          <t xml:space="preserve">O</t>
        </is>
      </c>
      <c r="L62" s="26" t="n">
        <f aca="false">IF(OR(UPPER(K62)="Y",UPPER(K62)="O"),0,J62)</f>
        <v>20</v>
      </c>
      <c r="M62" s="5" t="s">
        <v>16</v>
      </c>
      <c r="N62" s="5" t="inlineStr">
        <is>
          <t xml:space="preserve">vision (camera + classifier)</t>
        </is>
      </c>
      <c r="O62" s="5" t="inlineStr">
        <is>
          <t xml:space="preserve">Waveshare list $18.99, Oct 2026. Replaces the Pi Zero 2 WH. Not KIT-A: its camera's 6 mm lens is too narrow at 300 mm.</t>
        </is>
      </c>
    </row>
    <row r="63" customFormat="false" ht="23.85" hidden="false" customHeight="false" outlineLevel="0" collapsed="false">
      <c r="A63" s="5" t="s">
        <v>882</v>
      </c>
      <c r="B63" s="5" t="s">
        <v>42</v>
      </c>
      <c r="C63" s="5" t="inlineStr">
        <is>
          <t xml:space="preserve">OV5647 camera, Raspberry Pi v1.3-style (25 x 24 mm)</t>
        </is>
      </c>
      <c r="D63" s="5" t="inlineStr">
        <is>
          <t xml:space="preserve">3.6 mm lens, WITH IR filter (not NoIR / night vision); includes 15-pin cable</t>
        </is>
      </c>
      <c r="E63" s="17" t="n">
        <v>1</v>
      </c>
      <c r="F63" s="5" t="s">
        <v>650</v>
      </c>
      <c r="G63" s="17" t="n">
        <v>1</v>
      </c>
      <c r="H63" s="21" t="n">
        <f aca="false">ROUNDUP(E63/G63,0)</f>
        <v>1</v>
      </c>
      <c r="I63" s="25" t="n">
        <v>12</v>
      </c>
      <c r="J63" s="26" t="n">
        <f aca="false">H63*I63</f>
        <v>25</v>
      </c>
      <c r="K63" s="27" t="inlineStr">
        <is>
          <t>Y</t>
        </is>
      </c>
      <c r="L63" s="26" t="n">
        <f aca="false">IF(OR(UPPER(K63)="Y",UPPER(K63)="O"),0,J63)</f>
        <v>25</v>
      </c>
      <c r="M63" s="5" t="s">
        <v>16</v>
      </c>
      <c r="N63" s="5" t="s">
        <v>881</v>
      </c>
      <c r="O63" s="5" t="inlineStr">
        <is>
          <t xml:space="preserve">est. $10-15 US retail Oct 2026 (approximate). Replaces Camera Module 3, which only works with Raspberry Pi boards.</t>
        </is>
      </c>
    </row>
    <row r="64" customFormat="false" ht="23.85" hidden="false" customHeight="false" outlineLevel="0" collapsed="false">
      <c r="A64" s="5" t="s">
        <v>885</v>
      </c>
      <c r="B64" s="5" t="s">
        <v>42</v>
      </c>
      <c r="C64" s="5" t="inlineStr">
        <is>
          <t xml:space="preserve">DROPPED: Pi Zero camera cable 22-&gt;15 pin</t>
        </is>
      </c>
      <c r="D64" s="5"/>
      <c r="E64" s="17" t="n">
        <v>0</v>
      </c>
      <c r="F64" s="5" t="s">
        <v>650</v>
      </c>
      <c r="G64" s="17" t="n">
        <v>1</v>
      </c>
      <c r="H64" s="21" t="n">
        <f aca="false">ROUNDUP(E64/G64,0)</f>
        <v>1</v>
      </c>
      <c r="I64" s="25" t="n">
        <v>6</v>
      </c>
      <c r="J64" s="26" t="n">
        <f aca="false">H64*I64</f>
        <v>6</v>
      </c>
      <c r="K64" s="27"/>
      <c r="L64" s="26" t="n">
        <f aca="false">IF(OR(UPPER(K64)="Y",UPPER(K64)="O"),0,J64)</f>
        <v>6</v>
      </c>
      <c r="M64" s="5" t="s">
        <v>16</v>
      </c>
      <c r="N64" s="5" t="inlineStr">
        <is>
          <t xml:space="preserve">not needed</t>
        </is>
      </c>
      <c r="O64" s="5" t="inlineStr">
        <is>
          <t xml:space="preserve">Not needed: the P4-NANO has the standard 15-pin connector, so the camera's own cable fits.</t>
        </is>
      </c>
    </row>
    <row r="65" customFormat="false" ht="15" hidden="false" customHeight="false" outlineLevel="0" collapsed="false">
      <c r="A65" s="5" t="s">
        <v>889</v>
      </c>
      <c r="B65" s="5" t="s">
        <v>42</v>
      </c>
      <c r="C65" s="5" t="s">
        <v>890</v>
      </c>
      <c r="D65" s="5"/>
      <c r="E65" s="17" t="n">
        <v>1</v>
      </c>
      <c r="F65" s="5" t="s">
        <v>650</v>
      </c>
      <c r="G65" s="17" t="n">
        <v>1</v>
      </c>
      <c r="H65" s="21" t="n">
        <f aca="false">ROUNDUP(E65/G65,0)</f>
        <v>1</v>
      </c>
      <c r="I65" s="25" t="n">
        <v>10</v>
      </c>
      <c r="J65" s="26" t="n">
        <f aca="false">H65*I65</f>
        <v>10</v>
      </c>
      <c r="K65" s="27" t="inlineStr">
        <is>
          <t xml:space="preserve">O</t>
        </is>
      </c>
      <c r="L65" s="26" t="n">
        <f aca="false">IF(OR(UPPER(K65)="Y",UPPER(K65)="O"),0,J65)</f>
        <v>10</v>
      </c>
      <c r="M65" s="5" t="s">
        <v>16</v>
      </c>
      <c r="N65" s="5" t="inlineStr">
        <is>
          <t xml:space="preserve">training photos (P4 board's microSD slot)</t>
        </is>
      </c>
      <c r="O65" s="5" t="s">
        <v>652</v>
      </c>
    </row>
    <row r="66" customFormat="false" ht="23.85" hidden="false" customHeight="false" outlineLevel="0" collapsed="false">
      <c r="A66" s="5" t="s">
        <v>892</v>
      </c>
      <c r="B66" s="5" t="s">
        <v>42</v>
      </c>
      <c r="C66" s="5" t="s">
        <v>893</v>
      </c>
      <c r="D66" s="5"/>
      <c r="E66" s="17" t="n">
        <v>1</v>
      </c>
      <c r="F66" s="5" t="s">
        <v>848</v>
      </c>
      <c r="G66" s="17" t="n">
        <v>1</v>
      </c>
      <c r="H66" s="21" t="n">
        <f aca="false">ROUNDUP(E66/G66,0)</f>
        <v>1</v>
      </c>
      <c r="I66" s="25" t="n">
        <v>9</v>
      </c>
      <c r="J66" s="26" t="n">
        <f aca="false">H66*I66</f>
        <v>9</v>
      </c>
      <c r="K66" s="27" t="inlineStr">
        <is>
          <t>Y</t>
        </is>
      </c>
      <c r="L66" s="26" t="n">
        <f aca="false">IF(OR(UPPER(K66)="Y",UPPER(K66)="O"),0,J66)</f>
        <v>9</v>
      </c>
      <c r="M66" s="5" t="s">
        <v>16</v>
      </c>
      <c r="N66" s="5" t="inlineStr">
        <is>
          <t xml:space="preserve">P4 board + PIR power from the Cat6 12 V</t>
        </is>
      </c>
      <c r="O66" s="5" t="s">
        <v>652</v>
      </c>
    </row>
    <row r="67" customFormat="false" ht="15" hidden="false" customHeight="false" outlineLevel="0" collapsed="false">
      <c r="A67" s="5" t="s">
        <v>895</v>
      </c>
      <c r="B67" s="5" t="s">
        <v>42</v>
      </c>
      <c r="C67" s="5" t="inlineStr">
        <is>
          <t xml:space="preserve">DROPPED: Coral USB Accelerator</t>
        </is>
      </c>
      <c r="D67" s="5"/>
      <c r="E67" s="17" t="n">
        <v>0</v>
      </c>
      <c r="F67" s="5" t="s">
        <v>650</v>
      </c>
      <c r="G67" s="17" t="n">
        <v>1</v>
      </c>
      <c r="H67" s="21" t="n">
        <f aca="false">ROUNDUP(E67/G67,0)</f>
        <v>1</v>
      </c>
      <c r="I67" s="25" t="n">
        <v>60</v>
      </c>
      <c r="J67" s="26" t="n">
        <f aca="false">H67*I67</f>
        <v>60</v>
      </c>
      <c r="K67" s="27"/>
      <c r="L67" s="26" t="n">
        <f aca="false">IF(OR(UPPER(K67)="Y",UPPER(K67)="O"),0,J67)</f>
        <v>60</v>
      </c>
      <c r="M67" s="5" t="s">
        <v>20</v>
      </c>
      <c r="N67" s="5" t="s">
        <v>897</v>
      </c>
      <c r="O67" s="5" t="inlineStr">
        <is>
          <t xml:space="preserve">Not needed: the classifier runs on the ESP32-P4 itself (ESP-DL, int8).</t>
        </is>
      </c>
    </row>
    <row r="68" customFormat="false" ht="23.85" hidden="false" customHeight="false" outlineLevel="0" collapsed="false">
      <c r="A68" s="5" t="s">
        <v>899</v>
      </c>
      <c r="B68" s="5" t="s">
        <v>42</v>
      </c>
      <c r="C68" s="5" t="inlineStr">
        <is>
          <t xml:space="preserve">DROPPED: Right-angle USB-C to micro-USB OTG cable</t>
        </is>
      </c>
      <c r="D68" s="5" t="s">
        <v>901</v>
      </c>
      <c r="E68" s="17" t="n">
        <v>0</v>
      </c>
      <c r="F68" s="5" t="s">
        <v>650</v>
      </c>
      <c r="G68" s="17" t="n">
        <v>1</v>
      </c>
      <c r="H68" s="21" t="n">
        <f aca="false">ROUNDUP(E68/G68,0)</f>
        <v>1</v>
      </c>
      <c r="I68" s="25" t="n">
        <v>8</v>
      </c>
      <c r="J68" s="26" t="n">
        <f aca="false">H68*I68</f>
        <v>8</v>
      </c>
      <c r="K68" s="27"/>
      <c r="L68" s="26" t="n">
        <f aca="false">IF(OR(UPPER(K68)="Y",UPPER(K68)="O"),0,J68)</f>
        <v>8</v>
      </c>
      <c r="M68" s="5" t="s">
        <v>20</v>
      </c>
      <c r="N68" s="5" t="inlineStr">
        <is>
          <t xml:space="preserve">not needed</t>
        </is>
      </c>
      <c r="O68" s="5" t="inlineStr">
        <is>
          <t xml:space="preserve">Not needed: the Coral is dropped.</t>
        </is>
      </c>
    </row>
    <row r="69" customFormat="false" ht="15" hidden="false" customHeight="false" outlineLevel="0" collapsed="false">
      <c r="A69" s="5" t="s">
        <v>903</v>
      </c>
      <c r="B69" s="5" t="s">
        <v>43</v>
      </c>
      <c r="C69" s="5" t="s">
        <v>904</v>
      </c>
      <c r="D69" s="5" t="s">
        <v>905</v>
      </c>
      <c r="E69" s="17" t="n">
        <v>4</v>
      </c>
      <c r="F69" s="5" t="s">
        <v>650</v>
      </c>
      <c r="G69" s="17" t="n">
        <v>4</v>
      </c>
      <c r="H69" s="21" t="n">
        <f aca="false">ROUNDUP(E69/G69,0)</f>
        <v>1</v>
      </c>
      <c r="I69" s="25" t="n">
        <v>24</v>
      </c>
      <c r="J69" s="26" t="n">
        <f aca="false">H69*I69</f>
        <v>24</v>
      </c>
      <c r="K69" s="27" t="inlineStr">
        <is>
          <t>Y</t>
        </is>
      </c>
      <c r="L69" s="26" t="n">
        <f aca="false">IF(OR(UPPER(K69)="Y",UPPER(K69)="O"),0,J69)</f>
        <v>24</v>
      </c>
      <c r="M69" s="5" t="s">
        <v>16</v>
      </c>
      <c r="N69" s="5" t="s">
        <v>906</v>
      </c>
      <c r="O69" s="5" t="s">
        <v>652</v>
      </c>
    </row>
    <row r="70" customFormat="false" ht="15" hidden="false" customHeight="false" outlineLevel="0" collapsed="false">
      <c r="A70" s="5" t="s">
        <v>907</v>
      </c>
      <c r="B70" s="5" t="s">
        <v>43</v>
      </c>
      <c r="C70" s="5" t="s">
        <v>908</v>
      </c>
      <c r="D70" s="5"/>
      <c r="E70" s="17" t="n">
        <v>1</v>
      </c>
      <c r="F70" s="5" t="s">
        <v>650</v>
      </c>
      <c r="G70" s="17" t="n">
        <v>1</v>
      </c>
      <c r="H70" s="21" t="n">
        <f aca="false">ROUNDUP(E70/G70,0)</f>
        <v>1</v>
      </c>
      <c r="I70" s="25" t="n">
        <v>14</v>
      </c>
      <c r="J70" s="26" t="n">
        <f aca="false">H70*I70</f>
        <v>14</v>
      </c>
      <c r="K70" s="27" t="inlineStr">
        <is>
          <t>Y</t>
        </is>
      </c>
      <c r="L70" s="26" t="n">
        <f aca="false">IF(OR(UPPER(K70)="Y",UPPER(K70)="O"),0,J70)</f>
        <v>14</v>
      </c>
      <c r="M70" s="5" t="s">
        <v>16</v>
      </c>
      <c r="N70" s="5" t="s">
        <v>909</v>
      </c>
      <c r="O70" s="5" t="s">
        <v>652</v>
      </c>
    </row>
    <row r="71" customFormat="false" ht="35.05" hidden="false" customHeight="false" outlineLevel="0" collapsed="false">
      <c r="A71" s="5" t="s">
        <v>910</v>
      </c>
      <c r="B71" s="5" t="s">
        <v>43</v>
      </c>
      <c r="C71" s="5" t="s">
        <v>911</v>
      </c>
      <c r="D71" s="5" t="s">
        <v>170</v>
      </c>
      <c r="E71" s="17" t="n">
        <v>2</v>
      </c>
      <c r="F71" s="5" t="s">
        <v>650</v>
      </c>
      <c r="G71" s="17" t="n">
        <v>1</v>
      </c>
      <c r="H71" s="21" t="n">
        <f aca="false">ROUNDUP(E71/G71,0)</f>
        <v>2</v>
      </c>
      <c r="I71" s="25" t="n">
        <v>35</v>
      </c>
      <c r="J71" s="26" t="n">
        <f aca="false">H71*I71</f>
        <v>70</v>
      </c>
      <c r="K71" s="27" t="inlineStr">
        <is>
          <t>Y</t>
        </is>
      </c>
      <c r="L71" s="26" t="n">
        <f aca="false">IF(OR(UPPER(K71)="Y",UPPER(K71)="O"),0,J71)</f>
        <v>70</v>
      </c>
      <c r="M71" s="5" t="s">
        <v>16</v>
      </c>
      <c r="N71" s="5" t="s">
        <v>796</v>
      </c>
      <c r="O71" s="5" t="s">
        <v>912</v>
      </c>
    </row>
    <row r="72" customFormat="false" ht="23.85" hidden="false" customHeight="false" outlineLevel="0" collapsed="false">
      <c r="A72" s="5" t="s">
        <v>913</v>
      </c>
      <c r="B72" s="5" t="s">
        <v>43</v>
      </c>
      <c r="C72" s="5" t="s">
        <v>914</v>
      </c>
      <c r="D72" s="5" t="s">
        <v>915</v>
      </c>
      <c r="E72" s="17" t="n">
        <v>2</v>
      </c>
      <c r="F72" s="5" t="s">
        <v>916</v>
      </c>
      <c r="G72" s="17" t="n">
        <v>1</v>
      </c>
      <c r="H72" s="21" t="n">
        <f aca="false">ROUNDUP(E72/G72,0)</f>
        <v>2</v>
      </c>
      <c r="I72" s="25" t="n">
        <v>9</v>
      </c>
      <c r="J72" s="26" t="n">
        <f aca="false">H72*I72</f>
        <v>18</v>
      </c>
      <c r="K72" s="27" t="inlineStr">
        <is>
          <t>Y</t>
        </is>
      </c>
      <c r="L72" s="26" t="n">
        <f aca="false">IF(OR(UPPER(K72)="Y",UPPER(K72)="O"),0,J72)</f>
        <v>18</v>
      </c>
      <c r="M72" s="5" t="s">
        <v>16</v>
      </c>
      <c r="N72" s="5" t="s">
        <v>917</v>
      </c>
      <c r="O72" s="5" t="s">
        <v>652</v>
      </c>
    </row>
    <row r="73" customFormat="false" ht="15" hidden="false" customHeight="false" outlineLevel="0" collapsed="false">
      <c r="A73" s="5" t="s">
        <v>918</v>
      </c>
      <c r="B73" s="5" t="s">
        <v>43</v>
      </c>
      <c r="C73" s="5" t="s">
        <v>919</v>
      </c>
      <c r="D73" s="5"/>
      <c r="E73" s="17" t="n">
        <v>1</v>
      </c>
      <c r="F73" s="5" t="s">
        <v>848</v>
      </c>
      <c r="G73" s="17" t="n">
        <v>1</v>
      </c>
      <c r="H73" s="21" t="n">
        <f aca="false">ROUNDUP(E73/G73,0)</f>
        <v>1</v>
      </c>
      <c r="I73" s="25" t="n">
        <v>8</v>
      </c>
      <c r="J73" s="26" t="n">
        <f aca="false">H73*I73</f>
        <v>8</v>
      </c>
      <c r="K73" s="27" t="inlineStr">
        <is>
          <t>Y</t>
        </is>
      </c>
      <c r="L73" s="26" t="n">
        <f aca="false">IF(OR(UPPER(K73)="Y",UPPER(K73)="O"),0,J73)</f>
        <v>8</v>
      </c>
      <c r="M73" s="5" t="s">
        <v>16</v>
      </c>
      <c r="N73" s="5" t="s">
        <v>920</v>
      </c>
      <c r="O73" s="5" t="s">
        <v>652</v>
      </c>
    </row>
    <row r="74" customFormat="false" ht="23.85" hidden="false" customHeight="false" outlineLevel="0" collapsed="false">
      <c r="A74" s="5" t="s">
        <v>921</v>
      </c>
      <c r="B74" s="5" t="s">
        <v>43</v>
      </c>
      <c r="C74" s="5" t="s">
        <v>922</v>
      </c>
      <c r="D74" s="5"/>
      <c r="E74" s="17" t="n">
        <v>1</v>
      </c>
      <c r="F74" s="5" t="s">
        <v>848</v>
      </c>
      <c r="G74" s="17" t="n">
        <v>1</v>
      </c>
      <c r="H74" s="21" t="n">
        <f aca="false">ROUNDUP(E74/G74,0)</f>
        <v>1</v>
      </c>
      <c r="I74" s="25" t="n">
        <v>6</v>
      </c>
      <c r="J74" s="26" t="n">
        <f aca="false">H74*I74</f>
        <v>6</v>
      </c>
      <c r="K74" s="27" t="inlineStr">
        <is>
          <t>Y</t>
        </is>
      </c>
      <c r="L74" s="26" t="n">
        <f aca="false">IF(OR(UPPER(K74)="Y",UPPER(K74)="O"),0,J74)</f>
        <v>6</v>
      </c>
      <c r="M74" s="5" t="s">
        <v>16</v>
      </c>
      <c r="N74" s="5" t="s">
        <v>923</v>
      </c>
      <c r="O74" s="5" t="s">
        <v>652</v>
      </c>
    </row>
    <row r="75" customFormat="false" ht="23.85" hidden="false" customHeight="false" outlineLevel="0" collapsed="false">
      <c r="A75" s="5" t="s">
        <v>924</v>
      </c>
      <c r="B75" s="5" t="s">
        <v>43</v>
      </c>
      <c r="C75" s="5" t="s">
        <v>925</v>
      </c>
      <c r="D75" s="5" t="s">
        <v>926</v>
      </c>
      <c r="E75" s="17" t="n">
        <v>1</v>
      </c>
      <c r="F75" s="5" t="s">
        <v>738</v>
      </c>
      <c r="G75" s="17" t="n">
        <v>1</v>
      </c>
      <c r="H75" s="21" t="n">
        <f aca="false">ROUNDUP(E75/G75,0)</f>
        <v>1</v>
      </c>
      <c r="I75" s="25" t="n">
        <v>6</v>
      </c>
      <c r="J75" s="26" t="n">
        <f aca="false">H75*I75</f>
        <v>6</v>
      </c>
      <c r="K75" s="27" t="inlineStr">
        <is>
          <t>Y</t>
        </is>
      </c>
      <c r="L75" s="26" t="n">
        <f aca="false">IF(OR(UPPER(K75)="Y",UPPER(K75)="O"),0,J75)</f>
        <v>6</v>
      </c>
      <c r="M75" s="5" t="s">
        <v>16</v>
      </c>
      <c r="N75" s="5" t="s">
        <v>923</v>
      </c>
      <c r="O75" s="5" t="s">
        <v>652</v>
      </c>
    </row>
    <row r="76" customFormat="false" ht="35.05" hidden="false" customHeight="false" outlineLevel="0" collapsed="false">
      <c r="A76" s="5" t="s">
        <v>927</v>
      </c>
      <c r="B76" s="5" t="s">
        <v>43</v>
      </c>
      <c r="C76" s="5" t="s">
        <v>928</v>
      </c>
      <c r="D76" s="5" t="s">
        <v>929</v>
      </c>
      <c r="E76" s="17" t="n">
        <v>1</v>
      </c>
      <c r="F76" s="5" t="s">
        <v>930</v>
      </c>
      <c r="G76" s="17" t="n">
        <v>1</v>
      </c>
      <c r="H76" s="21" t="n">
        <f aca="false">ROUNDUP(E76/G76,0)</f>
        <v>1</v>
      </c>
      <c r="I76" s="25" t="n">
        <v>14</v>
      </c>
      <c r="J76" s="26" t="n">
        <f aca="false">H76*I76</f>
        <v>14</v>
      </c>
      <c r="K76" s="27"/>
      <c r="L76" s="26" t="n">
        <f aca="false">IF(OR(UPPER(K76)="Y",UPPER(K76)="O"),0,J76)</f>
        <v>14</v>
      </c>
      <c r="M76" s="5" t="s">
        <v>16</v>
      </c>
      <c r="N76" s="5" t="s">
        <v>931</v>
      </c>
      <c r="O76" s="5" t="s">
        <v>932</v>
      </c>
    </row>
    <row r="77" customFormat="false" ht="15" hidden="false" customHeight="false" outlineLevel="0" collapsed="false">
      <c r="A77" s="5" t="s">
        <v>933</v>
      </c>
      <c r="B77" s="5" t="s">
        <v>43</v>
      </c>
      <c r="C77" s="5" t="s">
        <v>934</v>
      </c>
      <c r="D77" s="5" t="s">
        <v>935</v>
      </c>
      <c r="E77" s="17" t="n">
        <v>3</v>
      </c>
      <c r="F77" s="5" t="s">
        <v>936</v>
      </c>
      <c r="G77" s="17" t="n">
        <v>1</v>
      </c>
      <c r="H77" s="21" t="n">
        <f aca="false">ROUNDUP(E77/G77,0)</f>
        <v>3</v>
      </c>
      <c r="I77" s="25" t="n">
        <v>6</v>
      </c>
      <c r="J77" s="26" t="n">
        <f aca="false">H77*I77</f>
        <v>18</v>
      </c>
      <c r="K77" s="27"/>
      <c r="L77" s="26" t="n">
        <f aca="false">IF(OR(UPPER(K77)="Y",UPPER(K77)="O"),0,J77)</f>
        <v>18</v>
      </c>
      <c r="M77" s="5" t="s">
        <v>24</v>
      </c>
      <c r="N77" s="5" t="s">
        <v>937</v>
      </c>
      <c r="O77" s="5" t="s">
        <v>652</v>
      </c>
    </row>
    <row r="78" customFormat="false" ht="15" hidden="false" customHeight="false" outlineLevel="0" collapsed="false">
      <c r="A78" s="5" t="s">
        <v>938</v>
      </c>
      <c r="B78" s="5" t="s">
        <v>44</v>
      </c>
      <c r="C78" s="5" t="s">
        <v>939</v>
      </c>
      <c r="D78" s="5" t="s">
        <v>940</v>
      </c>
      <c r="E78" s="17" t="n">
        <v>1</v>
      </c>
      <c r="F78" s="5" t="s">
        <v>650</v>
      </c>
      <c r="G78" s="17" t="n">
        <v>1</v>
      </c>
      <c r="H78" s="21" t="n">
        <f aca="false">ROUNDUP(E78/G78,0)</f>
        <v>1</v>
      </c>
      <c r="I78" s="25" t="n">
        <v>40</v>
      </c>
      <c r="J78" s="26" t="n">
        <f aca="false">H78*I78</f>
        <v>40</v>
      </c>
      <c r="K78" s="27" t="inlineStr">
        <is>
          <t>Y</t>
        </is>
      </c>
      <c r="L78" s="26" t="n">
        <f aca="false">IF(OR(UPPER(K78)="Y",UPPER(K78)="O"),0,J78)</f>
        <v>40</v>
      </c>
      <c r="M78" s="5" t="s">
        <v>16</v>
      </c>
      <c r="N78" s="5" t="s">
        <v>941</v>
      </c>
      <c r="O78" s="5" t="s">
        <v>652</v>
      </c>
    </row>
    <row r="79" customFormat="false" ht="15" hidden="false" customHeight="false" outlineLevel="0" collapsed="false">
      <c r="A79" s="5" t="s">
        <v>942</v>
      </c>
      <c r="B79" s="5" t="s">
        <v>44</v>
      </c>
      <c r="C79" s="5" t="s">
        <v>943</v>
      </c>
      <c r="D79" s="5"/>
      <c r="E79" s="17" t="n">
        <v>1</v>
      </c>
      <c r="F79" s="5" t="s">
        <v>848</v>
      </c>
      <c r="G79" s="17" t="n">
        <v>1</v>
      </c>
      <c r="H79" s="21" t="n">
        <f aca="false">ROUNDUP(E79/G79,0)</f>
        <v>1</v>
      </c>
      <c r="I79" s="25" t="n">
        <v>6</v>
      </c>
      <c r="J79" s="26" t="n">
        <f aca="false">H79*I79</f>
        <v>6</v>
      </c>
      <c r="K79" s="27"/>
      <c r="L79" s="26" t="n">
        <f aca="false">IF(OR(UPPER(K79)="Y",UPPER(K79)="O"),0,J79)</f>
        <v>6</v>
      </c>
      <c r="M79" s="5" t="s">
        <v>16</v>
      </c>
      <c r="N79" s="5" t="s">
        <v>944</v>
      </c>
      <c r="O79" s="5" t="s">
        <v>652</v>
      </c>
    </row>
    <row r="80" customFormat="false" ht="23.85" hidden="false" customHeight="false" outlineLevel="0" collapsed="false">
      <c r="A80" s="5" t="s">
        <v>945</v>
      </c>
      <c r="B80" s="5" t="s">
        <v>44</v>
      </c>
      <c r="C80" s="5" t="s">
        <v>946</v>
      </c>
      <c r="D80" s="5"/>
      <c r="E80" s="17" t="n">
        <v>1</v>
      </c>
      <c r="F80" s="5" t="s">
        <v>650</v>
      </c>
      <c r="G80" s="17" t="n">
        <v>1</v>
      </c>
      <c r="H80" s="21" t="n">
        <f aca="false">ROUNDUP(E80/G80,0)</f>
        <v>1</v>
      </c>
      <c r="I80" s="25" t="n">
        <v>22</v>
      </c>
      <c r="J80" s="26" t="n">
        <f aca="false">H80*I80</f>
        <v>22</v>
      </c>
      <c r="K80" s="27"/>
      <c r="L80" s="26" t="n">
        <f aca="false">IF(OR(UPPER(K80)="Y",UPPER(K80)="O"),0,J80)</f>
        <v>22</v>
      </c>
      <c r="M80" s="5" t="s">
        <v>16</v>
      </c>
      <c r="N80" s="5" t="s">
        <v>947</v>
      </c>
      <c r="O80" s="5" t="s">
        <v>948</v>
      </c>
    </row>
    <row r="81" customFormat="false" ht="15" hidden="false" customHeight="false" outlineLevel="0" collapsed="false">
      <c r="A81" s="5" t="s">
        <v>949</v>
      </c>
      <c r="B81" s="5" t="s">
        <v>44</v>
      </c>
      <c r="C81" s="5" t="s">
        <v>950</v>
      </c>
      <c r="D81" s="5" t="s">
        <v>951</v>
      </c>
      <c r="E81" s="17" t="n">
        <v>1</v>
      </c>
      <c r="F81" s="5" t="s">
        <v>650</v>
      </c>
      <c r="G81" s="17" t="n">
        <v>1</v>
      </c>
      <c r="H81" s="21" t="n">
        <f aca="false">ROUNDUP(E81/G81,0)</f>
        <v>1</v>
      </c>
      <c r="I81" s="25" t="n">
        <v>42</v>
      </c>
      <c r="J81" s="26" t="n">
        <f aca="false">H81*I81</f>
        <v>42</v>
      </c>
      <c r="K81" s="27"/>
      <c r="L81" s="26" t="n">
        <f aca="false">IF(OR(UPPER(K81)="Y",UPPER(K81)="O"),0,J81)</f>
        <v>42</v>
      </c>
      <c r="M81" s="5" t="s">
        <v>22</v>
      </c>
      <c r="N81" s="5" t="s">
        <v>952</v>
      </c>
      <c r="O81" s="5" t="s">
        <v>652</v>
      </c>
    </row>
    <row r="82" customFormat="false" ht="15" hidden="false" customHeight="false" outlineLevel="0" collapsed="false">
      <c r="A82" s="5" t="s">
        <v>953</v>
      </c>
      <c r="B82" s="5" t="s">
        <v>44</v>
      </c>
      <c r="C82" s="5" t="s">
        <v>954</v>
      </c>
      <c r="D82" s="5"/>
      <c r="E82" s="17" t="n">
        <v>1</v>
      </c>
      <c r="F82" s="5" t="s">
        <v>738</v>
      </c>
      <c r="G82" s="17" t="n">
        <v>1</v>
      </c>
      <c r="H82" s="21" t="n">
        <f aca="false">ROUNDUP(E82/G82,0)</f>
        <v>1</v>
      </c>
      <c r="I82" s="25" t="n">
        <v>18</v>
      </c>
      <c r="J82" s="26" t="n">
        <f aca="false">H82*I82</f>
        <v>18</v>
      </c>
      <c r="K82" s="27"/>
      <c r="L82" s="26" t="n">
        <f aca="false">IF(OR(UPPER(K82)="Y",UPPER(K82)="O"),0,J82)</f>
        <v>18</v>
      </c>
      <c r="M82" s="5" t="s">
        <v>22</v>
      </c>
      <c r="N82" s="5" t="s">
        <v>952</v>
      </c>
      <c r="O82" s="5" t="s">
        <v>652</v>
      </c>
    </row>
    <row r="83" customFormat="false" ht="23.85" hidden="false" customHeight="false" outlineLevel="0" collapsed="false">
      <c r="A83" s="5" t="s">
        <v>955</v>
      </c>
      <c r="B83" s="5" t="s">
        <v>44</v>
      </c>
      <c r="C83" s="5" t="s">
        <v>956</v>
      </c>
      <c r="D83" s="5" t="s">
        <v>957</v>
      </c>
      <c r="E83" s="17" t="n">
        <v>1</v>
      </c>
      <c r="F83" s="5" t="s">
        <v>650</v>
      </c>
      <c r="G83" s="17" t="n">
        <v>1</v>
      </c>
      <c r="H83" s="21" t="n">
        <f aca="false">ROUNDUP(E83/G83,0)</f>
        <v>1</v>
      </c>
      <c r="I83" s="25" t="n">
        <v>69.97</v>
      </c>
      <c r="J83" s="26" t="n">
        <f aca="false">H83*I83</f>
        <v>69.97</v>
      </c>
      <c r="K83" s="27"/>
      <c r="L83" s="26" t="n">
        <f aca="false">IF(OR(UPPER(K83)="Y",UPPER(K83)="O"),0,J83)</f>
        <v>69.97</v>
      </c>
      <c r="M83" s="5" t="s">
        <v>22</v>
      </c>
      <c r="N83" s="5" t="s">
        <v>941</v>
      </c>
      <c r="O83" s="5" t="s">
        <v>958</v>
      </c>
    </row>
    <row r="84" customFormat="false" ht="23.85" hidden="false" customHeight="false" outlineLevel="0" collapsed="false">
      <c r="A84" s="5" t="s">
        <v>959</v>
      </c>
      <c r="B84" s="5" t="s">
        <v>45</v>
      </c>
      <c r="C84" s="5" t="s">
        <v>960</v>
      </c>
      <c r="D84" s="5" t="s">
        <v>961</v>
      </c>
      <c r="E84" s="28" t="n">
        <f aca="false">Wiring!$G$26</f>
        <v>5.6</v>
      </c>
      <c r="F84" s="5" t="s">
        <v>962</v>
      </c>
      <c r="G84" s="17" t="n">
        <v>7.6</v>
      </c>
      <c r="H84" s="21" t="n">
        <f aca="false">ROUNDUP(E84/G84,0)</f>
        <v>1</v>
      </c>
      <c r="I84" s="25" t="n">
        <v>13</v>
      </c>
      <c r="J84" s="26" t="n">
        <f aca="false">H84*I84</f>
        <v>13</v>
      </c>
      <c r="K84" s="27"/>
      <c r="L84" s="26" t="n">
        <f aca="false">IF(OR(UPPER(K84)="Y",UPPER(K84)="O"),0,J84)</f>
        <v>13</v>
      </c>
      <c r="M84" s="5" t="s">
        <v>16</v>
      </c>
      <c r="N84" s="5" t="s">
        <v>963</v>
      </c>
      <c r="O84" s="5" t="s">
        <v>964</v>
      </c>
    </row>
    <row r="85" customFormat="false" ht="23.85" hidden="false" customHeight="false" outlineLevel="0" collapsed="false">
      <c r="A85" s="5" t="s">
        <v>965</v>
      </c>
      <c r="B85" s="5" t="s">
        <v>45</v>
      </c>
      <c r="C85" s="5" t="s">
        <v>966</v>
      </c>
      <c r="D85" s="5" t="s">
        <v>967</v>
      </c>
      <c r="E85" s="28" t="n">
        <f aca="false">Wiring!$G$27</f>
        <v>5.9</v>
      </c>
      <c r="F85" s="5" t="s">
        <v>962</v>
      </c>
      <c r="G85" s="17" t="n">
        <v>7.6</v>
      </c>
      <c r="H85" s="21" t="n">
        <f aca="false">ROUNDUP(E85/G85,0)</f>
        <v>1</v>
      </c>
      <c r="I85" s="25" t="n">
        <v>12</v>
      </c>
      <c r="J85" s="26" t="n">
        <f aca="false">H85*I85</f>
        <v>12</v>
      </c>
      <c r="K85" s="27"/>
      <c r="L85" s="26" t="n">
        <f aca="false">IF(OR(UPPER(K85)="Y",UPPER(K85)="O"),0,J85)</f>
        <v>12</v>
      </c>
      <c r="M85" s="5" t="s">
        <v>16</v>
      </c>
      <c r="N85" s="5" t="s">
        <v>968</v>
      </c>
      <c r="O85" s="5" t="s">
        <v>964</v>
      </c>
    </row>
    <row r="86" customFormat="false" ht="15" hidden="false" customHeight="false" outlineLevel="0" collapsed="false">
      <c r="A86" s="5" t="s">
        <v>969</v>
      </c>
      <c r="B86" s="5" t="s">
        <v>45</v>
      </c>
      <c r="C86" s="5" t="s">
        <v>970</v>
      </c>
      <c r="D86" s="5" t="s">
        <v>971</v>
      </c>
      <c r="E86" s="28" t="n">
        <f aca="false">Wiring!$G$28</f>
        <v>1.2</v>
      </c>
      <c r="F86" s="5" t="s">
        <v>962</v>
      </c>
      <c r="G86" s="17" t="n">
        <v>7.6</v>
      </c>
      <c r="H86" s="21" t="n">
        <f aca="false">ROUNDUP(E86/G86,0)</f>
        <v>1</v>
      </c>
      <c r="I86" s="25" t="n">
        <v>15</v>
      </c>
      <c r="J86" s="26" t="n">
        <f aca="false">H86*I86</f>
        <v>15</v>
      </c>
      <c r="K86" s="27"/>
      <c r="L86" s="26" t="n">
        <f aca="false">IF(OR(UPPER(K86)="Y",UPPER(K86)="O"),0,J86)</f>
        <v>15</v>
      </c>
      <c r="M86" s="5" t="s">
        <v>16</v>
      </c>
      <c r="N86" s="5" t="s">
        <v>972</v>
      </c>
      <c r="O86" s="5" t="s">
        <v>964</v>
      </c>
    </row>
    <row r="87" customFormat="false" ht="15" hidden="false" customHeight="false" outlineLevel="0" collapsed="false">
      <c r="A87" s="5" t="s">
        <v>973</v>
      </c>
      <c r="B87" s="5" t="s">
        <v>45</v>
      </c>
      <c r="C87" s="5" t="s">
        <v>974</v>
      </c>
      <c r="D87" s="5" t="s">
        <v>975</v>
      </c>
      <c r="E87" s="28" t="n">
        <f aca="false">Wiring!$G$29</f>
        <v>1.9</v>
      </c>
      <c r="F87" s="5" t="s">
        <v>962</v>
      </c>
      <c r="G87" s="17" t="n">
        <v>3</v>
      </c>
      <c r="H87" s="21" t="n">
        <f aca="false">ROUNDUP(E87/G87,0)</f>
        <v>1</v>
      </c>
      <c r="I87" s="25" t="n">
        <v>11</v>
      </c>
      <c r="J87" s="26" t="n">
        <f aca="false">H87*I87</f>
        <v>11</v>
      </c>
      <c r="K87" s="27"/>
      <c r="L87" s="26" t="n">
        <f aca="false">IF(OR(UPPER(K87)="Y",UPPER(K87)="O"),0,J87)</f>
        <v>11</v>
      </c>
      <c r="M87" s="5" t="s">
        <v>16</v>
      </c>
      <c r="N87" s="5" t="s">
        <v>976</v>
      </c>
      <c r="O87" s="5" t="s">
        <v>977</v>
      </c>
    </row>
    <row r="88" customFormat="false" ht="15" hidden="false" customHeight="false" outlineLevel="0" collapsed="false">
      <c r="A88" s="5" t="s">
        <v>978</v>
      </c>
      <c r="B88" s="5" t="s">
        <v>45</v>
      </c>
      <c r="C88" s="5" t="s">
        <v>979</v>
      </c>
      <c r="D88" s="5" t="s">
        <v>980</v>
      </c>
      <c r="E88" s="28" t="n">
        <f aca="false">Wiring!$G$30</f>
        <v>0.9</v>
      </c>
      <c r="F88" s="5" t="s">
        <v>962</v>
      </c>
      <c r="G88" s="17" t="n">
        <v>1.5</v>
      </c>
      <c r="H88" s="21" t="n">
        <f aca="false">ROUNDUP(E88/G88,0)</f>
        <v>1</v>
      </c>
      <c r="I88" s="25" t="n">
        <v>6</v>
      </c>
      <c r="J88" s="26" t="n">
        <f aca="false">H88*I88</f>
        <v>6</v>
      </c>
      <c r="K88" s="27"/>
      <c r="L88" s="26" t="n">
        <f aca="false">IF(OR(UPPER(K88)="Y",UPPER(K88)="O"),0,J88)</f>
        <v>6</v>
      </c>
      <c r="M88" s="5" t="s">
        <v>16</v>
      </c>
      <c r="N88" s="5" t="s">
        <v>981</v>
      </c>
      <c r="O88" s="5" t="s">
        <v>652</v>
      </c>
    </row>
    <row r="89" customFormat="false" ht="23.85" hidden="false" customHeight="false" outlineLevel="0" collapsed="false">
      <c r="A89" s="5" t="s">
        <v>982</v>
      </c>
      <c r="B89" s="5" t="s">
        <v>45</v>
      </c>
      <c r="C89" s="5" t="s">
        <v>983</v>
      </c>
      <c r="D89" s="5" t="s">
        <v>984</v>
      </c>
      <c r="E89" s="28" t="n">
        <f aca="false">Wiring!$G$31</f>
        <v>1.3</v>
      </c>
      <c r="F89" s="5" t="s">
        <v>962</v>
      </c>
      <c r="G89" s="17" t="n">
        <v>3</v>
      </c>
      <c r="H89" s="21" t="n">
        <f aca="false">ROUNDUP(E89/G89,0)</f>
        <v>1</v>
      </c>
      <c r="I89" s="25" t="n">
        <v>10</v>
      </c>
      <c r="J89" s="26" t="n">
        <f aca="false">H89*I89</f>
        <v>10</v>
      </c>
      <c r="K89" s="27"/>
      <c r="L89" s="26" t="n">
        <f aca="false">IF(OR(UPPER(K89)="Y",UPPER(K89)="O"),0,J89)</f>
        <v>10</v>
      </c>
      <c r="M89" s="5" t="s">
        <v>16</v>
      </c>
      <c r="N89" s="5" t="s">
        <v>296</v>
      </c>
      <c r="O89" s="5" t="s">
        <v>985</v>
      </c>
    </row>
    <row r="90" customFormat="false" ht="23.85" hidden="false" customHeight="false" outlineLevel="0" collapsed="false">
      <c r="A90" s="5" t="s">
        <v>986</v>
      </c>
      <c r="B90" s="5" t="s">
        <v>45</v>
      </c>
      <c r="C90" s="5" t="s">
        <v>987</v>
      </c>
      <c r="D90" s="5" t="s">
        <v>988</v>
      </c>
      <c r="E90" s="28" t="n">
        <f aca="false">Wiring!$G$32</f>
        <v>1.3</v>
      </c>
      <c r="F90" s="5" t="s">
        <v>962</v>
      </c>
      <c r="G90" s="17" t="n">
        <v>3</v>
      </c>
      <c r="H90" s="21" t="n">
        <f aca="false">ROUNDUP(E90/G90,0)</f>
        <v>1</v>
      </c>
      <c r="I90" s="25" t="n">
        <v>9</v>
      </c>
      <c r="J90" s="26" t="n">
        <f aca="false">H90*I90</f>
        <v>9</v>
      </c>
      <c r="K90" s="27"/>
      <c r="L90" s="26" t="n">
        <f aca="false">IF(OR(UPPER(K90)="Y",UPPER(K90)="O"),0,J90)</f>
        <v>9</v>
      </c>
      <c r="M90" s="5" t="s">
        <v>22</v>
      </c>
      <c r="N90" s="5" t="s">
        <v>989</v>
      </c>
      <c r="O90" s="5" t="s">
        <v>985</v>
      </c>
    </row>
    <row r="91" customFormat="false" ht="15" hidden="false" customHeight="false" outlineLevel="0" collapsed="false">
      <c r="A91" s="5" t="s">
        <v>990</v>
      </c>
      <c r="B91" s="5" t="s">
        <v>45</v>
      </c>
      <c r="C91" s="5" t="s">
        <v>991</v>
      </c>
      <c r="D91" s="5"/>
      <c r="E91" s="28" t="n">
        <f aca="false">Wiring!$G$33</f>
        <v>0.8</v>
      </c>
      <c r="F91" s="5" t="s">
        <v>962</v>
      </c>
      <c r="G91" s="17" t="n">
        <v>3</v>
      </c>
      <c r="H91" s="21" t="n">
        <f aca="false">ROUNDUP(E91/G91,0)</f>
        <v>1</v>
      </c>
      <c r="I91" s="25" t="n">
        <v>7</v>
      </c>
      <c r="J91" s="26" t="n">
        <f aca="false">H91*I91</f>
        <v>7</v>
      </c>
      <c r="K91" s="27"/>
      <c r="L91" s="26" t="n">
        <f aca="false">IF(OR(UPPER(K91)="Y",UPPER(K91)="O"),0,J91)</f>
        <v>7</v>
      </c>
      <c r="M91" s="5" t="s">
        <v>16</v>
      </c>
      <c r="N91" s="5" t="s">
        <v>992</v>
      </c>
      <c r="O91" s="5" t="s">
        <v>985</v>
      </c>
    </row>
    <row r="92" customFormat="false" ht="23.85" hidden="false" customHeight="false" outlineLevel="0" collapsed="false">
      <c r="A92" s="5" t="s">
        <v>993</v>
      </c>
      <c r="B92" s="5" t="s">
        <v>45</v>
      </c>
      <c r="C92" s="5" t="s">
        <v>994</v>
      </c>
      <c r="D92" s="5"/>
      <c r="E92" s="17" t="n">
        <v>1</v>
      </c>
      <c r="F92" s="5" t="s">
        <v>738</v>
      </c>
      <c r="G92" s="17" t="n">
        <v>1</v>
      </c>
      <c r="H92" s="21" t="n">
        <f aca="false">ROUNDUP(E92/G92,0)</f>
        <v>1</v>
      </c>
      <c r="I92" s="25" t="n">
        <v>14</v>
      </c>
      <c r="J92" s="26" t="n">
        <f aca="false">H92*I92</f>
        <v>14</v>
      </c>
      <c r="K92" s="27"/>
      <c r="L92" s="26" t="n">
        <f aca="false">IF(OR(UPPER(K92)="Y",UPPER(K92)="O"),0,J92)</f>
        <v>14</v>
      </c>
      <c r="M92" s="5" t="s">
        <v>16</v>
      </c>
      <c r="N92" s="5" t="s">
        <v>995</v>
      </c>
      <c r="O92" s="5" t="s">
        <v>652</v>
      </c>
    </row>
    <row r="93" customFormat="false" ht="15" hidden="false" customHeight="false" outlineLevel="0" collapsed="false">
      <c r="A93" s="5" t="s">
        <v>996</v>
      </c>
      <c r="B93" s="5" t="s">
        <v>45</v>
      </c>
      <c r="C93" s="5" t="s">
        <v>997</v>
      </c>
      <c r="D93" s="5" t="s">
        <v>998</v>
      </c>
      <c r="E93" s="17" t="n">
        <v>3</v>
      </c>
      <c r="F93" s="5" t="s">
        <v>650</v>
      </c>
      <c r="G93" s="17" t="n">
        <v>5</v>
      </c>
      <c r="H93" s="21" t="n">
        <f aca="false">ROUNDUP(E93/G93,0)</f>
        <v>1</v>
      </c>
      <c r="I93" s="25" t="n">
        <v>13</v>
      </c>
      <c r="J93" s="26" t="n">
        <f aca="false">H93*I93</f>
        <v>13</v>
      </c>
      <c r="K93" s="27"/>
      <c r="L93" s="26" t="n">
        <f aca="false">IF(OR(UPPER(K93)="Y",UPPER(K93)="O"),0,J93)</f>
        <v>13</v>
      </c>
      <c r="M93" s="5" t="s">
        <v>16</v>
      </c>
      <c r="N93" s="5" t="s">
        <v>999</v>
      </c>
      <c r="O93" s="5" t="s">
        <v>652</v>
      </c>
    </row>
    <row r="94" customFormat="false" ht="23.85" hidden="false" customHeight="false" outlineLevel="0" collapsed="false">
      <c r="A94" s="5" t="s">
        <v>1000</v>
      </c>
      <c r="B94" s="5" t="s">
        <v>45</v>
      </c>
      <c r="C94" s="5" t="s">
        <v>1001</v>
      </c>
      <c r="D94" s="5" t="s">
        <v>1002</v>
      </c>
      <c r="E94" s="17" t="n">
        <v>1</v>
      </c>
      <c r="F94" s="5" t="s">
        <v>738</v>
      </c>
      <c r="G94" s="17" t="n">
        <v>1</v>
      </c>
      <c r="H94" s="21" t="n">
        <f aca="false">ROUNDUP(E94/G94,0)</f>
        <v>1</v>
      </c>
      <c r="I94" s="25" t="n">
        <v>12</v>
      </c>
      <c r="J94" s="26" t="n">
        <f aca="false">H94*I94</f>
        <v>12</v>
      </c>
      <c r="K94" s="27"/>
      <c r="L94" s="26" t="n">
        <f aca="false">IF(OR(UPPER(K94)="Y",UPPER(K94)="O"),0,J94)</f>
        <v>12</v>
      </c>
      <c r="M94" s="5" t="s">
        <v>16</v>
      </c>
      <c r="N94" s="5" t="s">
        <v>1003</v>
      </c>
      <c r="O94" s="5" t="s">
        <v>652</v>
      </c>
    </row>
    <row r="95" customFormat="false" ht="15" hidden="false" customHeight="false" outlineLevel="0" collapsed="false">
      <c r="A95" s="5" t="s">
        <v>1004</v>
      </c>
      <c r="B95" s="5" t="s">
        <v>45</v>
      </c>
      <c r="C95" s="5" t="s">
        <v>1005</v>
      </c>
      <c r="D95" s="5"/>
      <c r="E95" s="17" t="n">
        <v>1</v>
      </c>
      <c r="F95" s="5" t="s">
        <v>738</v>
      </c>
      <c r="G95" s="17" t="n">
        <v>1</v>
      </c>
      <c r="H95" s="21" t="n">
        <f aca="false">ROUNDUP(E95/G95,0)</f>
        <v>1</v>
      </c>
      <c r="I95" s="25" t="n">
        <v>8</v>
      </c>
      <c r="J95" s="26" t="n">
        <f aca="false">H95*I95</f>
        <v>8</v>
      </c>
      <c r="K95" s="27"/>
      <c r="L95" s="26" t="n">
        <f aca="false">IF(OR(UPPER(K95)="Y",UPPER(K95)="O"),0,J95)</f>
        <v>8</v>
      </c>
      <c r="M95" s="5" t="s">
        <v>16</v>
      </c>
      <c r="N95" s="5" t="s">
        <v>1006</v>
      </c>
      <c r="O95" s="5" t="s">
        <v>652</v>
      </c>
    </row>
    <row r="96" customFormat="false" ht="23.85" hidden="false" customHeight="false" outlineLevel="0" collapsed="false">
      <c r="A96" s="5" t="s">
        <v>1007</v>
      </c>
      <c r="B96" s="5" t="s">
        <v>45</v>
      </c>
      <c r="C96" s="5" t="s">
        <v>1008</v>
      </c>
      <c r="D96" s="5"/>
      <c r="E96" s="17" t="n">
        <v>1</v>
      </c>
      <c r="F96" s="5" t="s">
        <v>848</v>
      </c>
      <c r="G96" s="17" t="n">
        <v>1</v>
      </c>
      <c r="H96" s="21" t="n">
        <f aca="false">ROUNDUP(E96/G96,0)</f>
        <v>1</v>
      </c>
      <c r="I96" s="25" t="n">
        <v>6</v>
      </c>
      <c r="J96" s="26" t="n">
        <f aca="false">H96*I96</f>
        <v>6</v>
      </c>
      <c r="K96" s="27"/>
      <c r="L96" s="26" t="n">
        <f aca="false">IF(OR(UPPER(K96)="Y",UPPER(K96)="O"),0,J96)</f>
        <v>6</v>
      </c>
      <c r="M96" s="5" t="s">
        <v>16</v>
      </c>
      <c r="N96" s="5" t="s">
        <v>1009</v>
      </c>
      <c r="O96" s="5" t="s">
        <v>652</v>
      </c>
    </row>
    <row r="97" customFormat="false" ht="15" hidden="false" customHeight="false" outlineLevel="0" collapsed="false">
      <c r="A97" s="5" t="s">
        <v>1010</v>
      </c>
      <c r="B97" s="5" t="s">
        <v>45</v>
      </c>
      <c r="C97" s="5" t="s">
        <v>1011</v>
      </c>
      <c r="D97" s="5" t="s">
        <v>1012</v>
      </c>
      <c r="E97" s="17" t="n">
        <v>1</v>
      </c>
      <c r="F97" s="5" t="s">
        <v>848</v>
      </c>
      <c r="G97" s="17" t="n">
        <v>1</v>
      </c>
      <c r="H97" s="21" t="n">
        <f aca="false">ROUNDUP(E97/G97,0)</f>
        <v>1</v>
      </c>
      <c r="I97" s="25" t="n">
        <v>5</v>
      </c>
      <c r="J97" s="26" t="n">
        <f aca="false">H97*I97</f>
        <v>5</v>
      </c>
      <c r="K97" s="27"/>
      <c r="L97" s="26" t="n">
        <f aca="false">IF(OR(UPPER(K97)="Y",UPPER(K97)="O"),0,J97)</f>
        <v>5</v>
      </c>
      <c r="M97" s="5" t="s">
        <v>16</v>
      </c>
      <c r="N97" s="5" t="s">
        <v>1013</v>
      </c>
      <c r="O97" s="5" t="s">
        <v>652</v>
      </c>
    </row>
    <row r="98" customFormat="false" ht="15" hidden="false" customHeight="false" outlineLevel="0" collapsed="false">
      <c r="A98" s="5" t="s">
        <v>1014</v>
      </c>
      <c r="B98" s="5" t="s">
        <v>45</v>
      </c>
      <c r="C98" s="5" t="s">
        <v>1015</v>
      </c>
      <c r="D98" s="5"/>
      <c r="E98" s="17" t="n">
        <v>1</v>
      </c>
      <c r="F98" s="5" t="s">
        <v>848</v>
      </c>
      <c r="G98" s="17" t="n">
        <v>1</v>
      </c>
      <c r="H98" s="21" t="n">
        <f aca="false">ROUNDUP(E98/G98,0)</f>
        <v>1</v>
      </c>
      <c r="I98" s="25" t="n">
        <v>6</v>
      </c>
      <c r="J98" s="26" t="n">
        <f aca="false">H98*I98</f>
        <v>6</v>
      </c>
      <c r="K98" s="27"/>
      <c r="L98" s="26" t="n">
        <f aca="false">IF(OR(UPPER(K98)="Y",UPPER(K98)="O"),0,J98)</f>
        <v>6</v>
      </c>
      <c r="M98" s="5" t="s">
        <v>16</v>
      </c>
      <c r="N98" s="5" t="s">
        <v>1016</v>
      </c>
      <c r="O98" s="5" t="s">
        <v>652</v>
      </c>
    </row>
    <row r="99" customFormat="false" ht="15" hidden="false" customHeight="false" outlineLevel="0" collapsed="false">
      <c r="A99" s="5" t="s">
        <v>1017</v>
      </c>
      <c r="B99" s="5" t="s">
        <v>45</v>
      </c>
      <c r="C99" s="5" t="s">
        <v>1018</v>
      </c>
      <c r="D99" s="5"/>
      <c r="E99" s="17" t="n">
        <v>1</v>
      </c>
      <c r="F99" s="5" t="s">
        <v>738</v>
      </c>
      <c r="G99" s="17" t="n">
        <v>1</v>
      </c>
      <c r="H99" s="21" t="n">
        <f aca="false">ROUNDUP(E99/G99,0)</f>
        <v>1</v>
      </c>
      <c r="I99" s="25" t="n">
        <v>8</v>
      </c>
      <c r="J99" s="26" t="n">
        <f aca="false">H99*I99</f>
        <v>8</v>
      </c>
      <c r="K99" s="27"/>
      <c r="L99" s="26" t="n">
        <f aca="false">IF(OR(UPPER(K99)="Y",UPPER(K99)="O"),0,J99)</f>
        <v>8</v>
      </c>
      <c r="M99" s="5" t="s">
        <v>16</v>
      </c>
      <c r="N99" s="5"/>
      <c r="O99" s="5" t="s">
        <v>652</v>
      </c>
    </row>
    <row r="100" customFormat="false" ht="15" hidden="false" customHeight="false" outlineLevel="0" collapsed="false">
      <c r="A100" s="5" t="s">
        <v>1019</v>
      </c>
      <c r="B100" s="5" t="s">
        <v>45</v>
      </c>
      <c r="C100" s="5" t="s">
        <v>1020</v>
      </c>
      <c r="D100" s="5"/>
      <c r="E100" s="17" t="n">
        <v>1</v>
      </c>
      <c r="F100" s="5" t="s">
        <v>738</v>
      </c>
      <c r="G100" s="17" t="n">
        <v>1</v>
      </c>
      <c r="H100" s="21" t="n">
        <f aca="false">ROUNDUP(E100/G100,0)</f>
        <v>1</v>
      </c>
      <c r="I100" s="25" t="n">
        <v>9</v>
      </c>
      <c r="J100" s="26" t="n">
        <f aca="false">H100*I100</f>
        <v>9</v>
      </c>
      <c r="K100" s="27"/>
      <c r="L100" s="26" t="n">
        <f aca="false">IF(OR(UPPER(K100)="Y",UPPER(K100)="O"),0,J100)</f>
        <v>9</v>
      </c>
      <c r="M100" s="5" t="s">
        <v>16</v>
      </c>
      <c r="N100" s="5" t="s">
        <v>1021</v>
      </c>
      <c r="O100" s="5" t="s">
        <v>652</v>
      </c>
    </row>
    <row r="101" customFormat="false" ht="15" hidden="false" customHeight="false" outlineLevel="0" collapsed="false">
      <c r="A101" s="5" t="s">
        <v>1022</v>
      </c>
      <c r="B101" s="5" t="s">
        <v>45</v>
      </c>
      <c r="C101" s="5" t="s">
        <v>1023</v>
      </c>
      <c r="D101" s="5" t="s">
        <v>1024</v>
      </c>
      <c r="E101" s="17" t="n">
        <v>1</v>
      </c>
      <c r="F101" s="5" t="s">
        <v>848</v>
      </c>
      <c r="G101" s="17" t="n">
        <v>1</v>
      </c>
      <c r="H101" s="21" t="n">
        <f aca="false">ROUNDUP(E101/G101,0)</f>
        <v>1</v>
      </c>
      <c r="I101" s="25" t="n">
        <v>8</v>
      </c>
      <c r="J101" s="26" t="n">
        <f aca="false">H101*I101</f>
        <v>8</v>
      </c>
      <c r="K101" s="27"/>
      <c r="L101" s="26" t="n">
        <f aca="false">IF(OR(UPPER(K101)="Y",UPPER(K101)="O"),0,J101)</f>
        <v>8</v>
      </c>
      <c r="M101" s="5" t="s">
        <v>16</v>
      </c>
      <c r="N101" s="5"/>
      <c r="O101" s="5" t="s">
        <v>652</v>
      </c>
    </row>
    <row r="102" customFormat="false" ht="15" hidden="false" customHeight="false" outlineLevel="0" collapsed="false">
      <c r="A102" s="5" t="s">
        <v>1025</v>
      </c>
      <c r="B102" s="5" t="s">
        <v>45</v>
      </c>
      <c r="C102" s="5" t="s">
        <v>1026</v>
      </c>
      <c r="D102" s="5" t="s">
        <v>1027</v>
      </c>
      <c r="E102" s="17" t="n">
        <v>1</v>
      </c>
      <c r="F102" s="5" t="s">
        <v>848</v>
      </c>
      <c r="G102" s="17" t="n">
        <v>1</v>
      </c>
      <c r="H102" s="21" t="n">
        <f aca="false">ROUNDUP(E102/G102,0)</f>
        <v>1</v>
      </c>
      <c r="I102" s="25" t="n">
        <v>6</v>
      </c>
      <c r="J102" s="26" t="n">
        <f aca="false">H102*I102</f>
        <v>6</v>
      </c>
      <c r="K102" s="27"/>
      <c r="L102" s="26" t="n">
        <f aca="false">IF(OR(UPPER(K102)="Y",UPPER(K102)="O"),0,J102)</f>
        <v>6</v>
      </c>
      <c r="M102" s="5" t="s">
        <v>16</v>
      </c>
      <c r="N102" s="5" t="s">
        <v>1028</v>
      </c>
      <c r="O102" s="5" t="s">
        <v>652</v>
      </c>
    </row>
    <row r="103" customFormat="false" ht="15" hidden="false" customHeight="false" outlineLevel="0" collapsed="false">
      <c r="A103" s="5" t="s">
        <v>1029</v>
      </c>
      <c r="B103" s="5" t="s">
        <v>45</v>
      </c>
      <c r="C103" s="5" t="s">
        <v>1030</v>
      </c>
      <c r="D103" s="5" t="s">
        <v>1027</v>
      </c>
      <c r="E103" s="17" t="n">
        <v>1</v>
      </c>
      <c r="F103" s="5" t="s">
        <v>848</v>
      </c>
      <c r="G103" s="17" t="n">
        <v>1</v>
      </c>
      <c r="H103" s="21" t="n">
        <f aca="false">ROUNDUP(E103/G103,0)</f>
        <v>1</v>
      </c>
      <c r="I103" s="25" t="n">
        <v>9</v>
      </c>
      <c r="J103" s="26" t="n">
        <f aca="false">H103*I103</f>
        <v>9</v>
      </c>
      <c r="K103" s="27"/>
      <c r="L103" s="26" t="n">
        <f aca="false">IF(OR(UPPER(K103)="Y",UPPER(K103)="O"),0,J103)</f>
        <v>9</v>
      </c>
      <c r="M103" s="5" t="s">
        <v>16</v>
      </c>
      <c r="N103" s="5" t="s">
        <v>1031</v>
      </c>
      <c r="O103" s="5" t="s">
        <v>652</v>
      </c>
    </row>
    <row r="104" customFormat="false" ht="15" hidden="false" customHeight="false" outlineLevel="0" collapsed="false">
      <c r="A104" s="5" t="s">
        <v>1032</v>
      </c>
      <c r="B104" s="5" t="s">
        <v>45</v>
      </c>
      <c r="C104" s="5" t="s">
        <v>1033</v>
      </c>
      <c r="D104" s="5"/>
      <c r="E104" s="17" t="n">
        <v>1</v>
      </c>
      <c r="F104" s="5" t="s">
        <v>848</v>
      </c>
      <c r="G104" s="17" t="n">
        <v>1</v>
      </c>
      <c r="H104" s="21" t="n">
        <f aca="false">ROUNDUP(E104/G104,0)</f>
        <v>1</v>
      </c>
      <c r="I104" s="25" t="n">
        <v>7</v>
      </c>
      <c r="J104" s="26" t="n">
        <f aca="false">H104*I104</f>
        <v>7</v>
      </c>
      <c r="K104" s="27"/>
      <c r="L104" s="26" t="n">
        <f aca="false">IF(OR(UPPER(K104)="Y",UPPER(K104)="O"),0,J104)</f>
        <v>7</v>
      </c>
      <c r="M104" s="5" t="s">
        <v>16</v>
      </c>
      <c r="N104" s="5" t="s">
        <v>1034</v>
      </c>
      <c r="O104" s="5" t="s">
        <v>652</v>
      </c>
    </row>
    <row r="105" customFormat="false" ht="15" hidden="false" customHeight="false" outlineLevel="0" collapsed="false">
      <c r="A105" s="5" t="s">
        <v>1035</v>
      </c>
      <c r="B105" s="5" t="s">
        <v>45</v>
      </c>
      <c r="C105" s="5" t="s">
        <v>1036</v>
      </c>
      <c r="D105" s="5"/>
      <c r="E105" s="17" t="n">
        <v>1</v>
      </c>
      <c r="F105" s="5" t="s">
        <v>1037</v>
      </c>
      <c r="G105" s="17" t="n">
        <v>1</v>
      </c>
      <c r="H105" s="21" t="n">
        <f aca="false">ROUNDUP(E105/G105,0)</f>
        <v>1</v>
      </c>
      <c r="I105" s="25" t="n">
        <v>7</v>
      </c>
      <c r="J105" s="26" t="n">
        <f aca="false">H105*I105</f>
        <v>7</v>
      </c>
      <c r="K105" s="27"/>
      <c r="L105" s="26" t="n">
        <f aca="false">IF(OR(UPPER(K105)="Y",UPPER(K105)="O"),0,J105)</f>
        <v>7</v>
      </c>
      <c r="M105" s="5" t="s">
        <v>16</v>
      </c>
      <c r="N105" s="5" t="s">
        <v>1038</v>
      </c>
      <c r="O105" s="5" t="s">
        <v>652</v>
      </c>
    </row>
    <row r="106" customFormat="false" ht="15" hidden="false" customHeight="false" outlineLevel="0" collapsed="false">
      <c r="A106" s="5" t="s">
        <v>1039</v>
      </c>
      <c r="B106" s="5" t="s">
        <v>45</v>
      </c>
      <c r="C106" s="5" t="s">
        <v>1040</v>
      </c>
      <c r="D106" s="5"/>
      <c r="E106" s="17" t="n">
        <v>1</v>
      </c>
      <c r="F106" s="5" t="s">
        <v>930</v>
      </c>
      <c r="G106" s="17" t="n">
        <v>1</v>
      </c>
      <c r="H106" s="21" t="n">
        <f aca="false">ROUNDUP(E106/G106,0)</f>
        <v>1</v>
      </c>
      <c r="I106" s="25" t="n">
        <v>13</v>
      </c>
      <c r="J106" s="26" t="n">
        <f aca="false">H106*I106</f>
        <v>13</v>
      </c>
      <c r="K106" s="27"/>
      <c r="L106" s="26" t="n">
        <f aca="false">IF(OR(UPPER(K106)="Y",UPPER(K106)="O"),0,J106)</f>
        <v>13</v>
      </c>
      <c r="M106" s="5" t="s">
        <v>16</v>
      </c>
      <c r="N106" s="5" t="inlineStr">
        <is>
          <t xml:space="preserve">pit lining, signal pod</t>
        </is>
      </c>
      <c r="O106" s="5" t="s">
        <v>652</v>
      </c>
    </row>
    <row r="107" customFormat="false" ht="15" hidden="false" customHeight="false" outlineLevel="0" collapsed="false">
      <c r="A107" s="5" t="s">
        <v>1042</v>
      </c>
      <c r="B107" s="5" t="s">
        <v>46</v>
      </c>
      <c r="C107" s="5" t="s">
        <v>1043</v>
      </c>
      <c r="D107" s="5"/>
      <c r="E107" s="14" t="n">
        <f aca="false">Print!$K$17</f>
        <v>1</v>
      </c>
      <c r="F107" s="5" t="s">
        <v>1044</v>
      </c>
      <c r="G107" s="17" t="n">
        <v>1</v>
      </c>
      <c r="H107" s="21" t="n">
        <f aca="false">ROUNDUP(E107/G107,0)</f>
        <v>1</v>
      </c>
      <c r="I107" s="25" t="n">
        <v>20</v>
      </c>
      <c r="J107" s="26" t="n">
        <f aca="false">H107*I107</f>
        <v>20</v>
      </c>
      <c r="K107" s="27"/>
      <c r="L107" s="26" t="n">
        <f aca="false">IF(OR(UPPER(K107)="Y",UPPER(K107)="O"),0,J107)</f>
        <v>20</v>
      </c>
      <c r="M107" s="5" t="s">
        <v>16</v>
      </c>
      <c r="N107" s="5" t="s">
        <v>1045</v>
      </c>
      <c r="O107" s="5" t="s">
        <v>652</v>
      </c>
    </row>
    <row r="108" customFormat="false" ht="15" hidden="false" customHeight="false" outlineLevel="0" collapsed="false">
      <c r="A108" s="5" t="s">
        <v>1046</v>
      </c>
      <c r="B108" s="5" t="s">
        <v>46</v>
      </c>
      <c r="C108" s="5" t="s">
        <v>1047</v>
      </c>
      <c r="D108" s="5" t="s">
        <v>1048</v>
      </c>
      <c r="E108" s="14" t="n">
        <f aca="false">Print!$K$18</f>
        <v>1</v>
      </c>
      <c r="F108" s="5" t="s">
        <v>1044</v>
      </c>
      <c r="G108" s="17" t="n">
        <v>1</v>
      </c>
      <c r="H108" s="21" t="n">
        <f aca="false">ROUNDUP(E108/G108,0)</f>
        <v>1</v>
      </c>
      <c r="I108" s="25" t="n">
        <v>24</v>
      </c>
      <c r="J108" s="26" t="n">
        <f aca="false">H108*I108</f>
        <v>24</v>
      </c>
      <c r="K108" s="27"/>
      <c r="L108" s="26" t="n">
        <f aca="false">IF(OR(UPPER(K108)="Y",UPPER(K108)="O"),0,J108)</f>
        <v>24</v>
      </c>
      <c r="M108" s="5" t="s">
        <v>16</v>
      </c>
      <c r="N108" s="5" t="s">
        <v>1049</v>
      </c>
      <c r="O108" s="5" t="s">
        <v>652</v>
      </c>
    </row>
    <row r="109" customFormat="false" ht="15" hidden="false" customHeight="false" outlineLevel="0" collapsed="false">
      <c r="A109" s="5" t="s">
        <v>1050</v>
      </c>
      <c r="B109" s="5" t="s">
        <v>47</v>
      </c>
      <c r="C109" s="5" t="s">
        <v>1051</v>
      </c>
      <c r="D109" s="5" t="s">
        <v>1052</v>
      </c>
      <c r="E109" s="17" t="n">
        <v>4</v>
      </c>
      <c r="F109" s="5" t="s">
        <v>650</v>
      </c>
      <c r="G109" s="17" t="n">
        <v>4</v>
      </c>
      <c r="H109" s="21" t="n">
        <f aca="false">ROUNDUP(E109/G109,0)</f>
        <v>1</v>
      </c>
      <c r="I109" s="25" t="n">
        <v>18</v>
      </c>
      <c r="J109" s="26" t="n">
        <f aca="false">H109*I109</f>
        <v>18</v>
      </c>
      <c r="K109" s="27"/>
      <c r="L109" s="26" t="n">
        <f aca="false">IF(OR(UPPER(K109)="Y",UPPER(K109)="O"),0,J109)</f>
        <v>18</v>
      </c>
      <c r="M109" s="5" t="s">
        <v>16</v>
      </c>
      <c r="N109" s="5" t="s">
        <v>1053</v>
      </c>
      <c r="O109" s="5" t="s">
        <v>652</v>
      </c>
    </row>
    <row r="111" customFormat="false" ht="15" hidden="false" customHeight="false" outlineLevel="0" collapsed="false">
      <c r="C111" s="8" t="s">
        <v>1054</v>
      </c>
      <c r="J111" s="29" t="n">
        <f aca="false">SUM(J2:J109)</f>
        <v>1765.77</v>
      </c>
      <c r="L111" s="29" t="n">
        <f aca="false">SUM(L2:L109)</f>
        <v>1765.77</v>
      </c>
    </row>
  </sheetData>
  <autoFilter ref="A1:O109"/>
  <dataValidations count="1">
    <dataValidation allowBlank="true" errorStyle="stop" operator="between" showDropDown="false" showErrorMessage="false" showInputMessage="false" sqref="K2:K109" type="list">
      <formula1>"Y,O,N"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46"/>
  </cols>
  <sheetData>
    <row r="1" customFormat="false" ht="30" hidden="false" customHeight="true" outlineLevel="0" collapsed="false">
      <c r="A1" s="16" t="s">
        <v>1055</v>
      </c>
      <c r="B1" s="16" t="s">
        <v>1056</v>
      </c>
      <c r="C1" s="16" t="s">
        <v>1057</v>
      </c>
      <c r="D1" s="16" t="s">
        <v>632</v>
      </c>
      <c r="E1" s="16" t="s">
        <v>15</v>
      </c>
      <c r="F1" s="16" t="s">
        <v>203</v>
      </c>
    </row>
    <row r="2" customFormat="false" ht="15" hidden="false" customHeight="false" outlineLevel="0" collapsed="false">
      <c r="A2" s="5" t="s">
        <v>1058</v>
      </c>
      <c r="B2" s="5" t="s">
        <v>1059</v>
      </c>
      <c r="C2" s="30" t="n">
        <v>0</v>
      </c>
      <c r="D2" s="27"/>
      <c r="E2" s="9" t="n">
        <f aca="false">IF(UPPER(D2)="Y",0,C2)</f>
        <v>0</v>
      </c>
      <c r="F2" s="5" t="s">
        <v>1060</v>
      </c>
    </row>
    <row r="3" customFormat="false" ht="15" hidden="false" customHeight="false" outlineLevel="0" collapsed="false">
      <c r="A3" s="5" t="s">
        <v>1061</v>
      </c>
      <c r="B3" s="5" t="s">
        <v>1062</v>
      </c>
      <c r="C3" s="30" t="n">
        <v>8</v>
      </c>
      <c r="D3" s="27" t="inlineStr">
        <is>
          <t>Y</t>
        </is>
      </c>
      <c r="E3" s="9" t="n">
        <f aca="false">IF(UPPER(D3)="Y",0,C3)</f>
        <v>8</v>
      </c>
      <c r="F3" s="5"/>
    </row>
    <row r="4" customFormat="false" ht="15" hidden="false" customHeight="false" outlineLevel="0" collapsed="false">
      <c r="A4" s="5" t="s">
        <v>1063</v>
      </c>
      <c r="B4" s="5" t="s">
        <v>1064</v>
      </c>
      <c r="C4" s="30" t="n">
        <v>0</v>
      </c>
      <c r="D4" s="27"/>
      <c r="E4" s="9" t="n">
        <f aca="false">IF(UPPER(D4)="Y",0,C4)</f>
        <v>0</v>
      </c>
      <c r="F4" s="5" t="s">
        <v>1060</v>
      </c>
    </row>
    <row r="5" customFormat="false" ht="15" hidden="false" customHeight="false" outlineLevel="0" collapsed="false">
      <c r="A5" s="5" t="s">
        <v>1065</v>
      </c>
      <c r="B5" s="5" t="s">
        <v>1066</v>
      </c>
      <c r="C5" s="30" t="n">
        <v>12</v>
      </c>
      <c r="D5" s="27" t="inlineStr">
        <is>
          <t>Y</t>
        </is>
      </c>
      <c r="E5" s="9" t="n">
        <f aca="false">IF(UPPER(D5)="Y",0,C5)</f>
        <v>12</v>
      </c>
      <c r="F5" s="5"/>
    </row>
    <row r="6" customFormat="false" ht="23.85" hidden="false" customHeight="false" outlineLevel="0" collapsed="false">
      <c r="A6" s="5" t="s">
        <v>1067</v>
      </c>
      <c r="B6" s="5" t="s">
        <v>1068</v>
      </c>
      <c r="C6" s="30" t="n">
        <v>18</v>
      </c>
      <c r="D6" s="27" t="inlineStr">
        <is>
          <t>Y</t>
        </is>
      </c>
      <c r="E6" s="9" t="n">
        <f aca="false">IF(UPPER(D6)="Y",0,C6)</f>
        <v>18</v>
      </c>
      <c r="F6" s="5"/>
    </row>
    <row r="7" customFormat="false" ht="23.85" hidden="false" customHeight="false" outlineLevel="0" collapsed="false">
      <c r="A7" s="5" t="s">
        <v>1069</v>
      </c>
      <c r="B7" s="5" t="s">
        <v>1070</v>
      </c>
      <c r="C7" s="30" t="n">
        <v>0</v>
      </c>
      <c r="D7" s="27"/>
      <c r="E7" s="9" t="n">
        <f aca="false">IF(UPPER(D7)="Y",0,C7)</f>
        <v>0</v>
      </c>
      <c r="F7" s="5" t="s">
        <v>1071</v>
      </c>
    </row>
    <row r="8" customFormat="false" ht="15" hidden="false" customHeight="false" outlineLevel="0" collapsed="false">
      <c r="A8" s="5" t="s">
        <v>1072</v>
      </c>
      <c r="B8" s="5" t="s">
        <v>1073</v>
      </c>
      <c r="C8" s="30" t="n">
        <v>0</v>
      </c>
      <c r="D8" s="27"/>
      <c r="E8" s="9" t="n">
        <f aca="false">IF(UPPER(D8)="Y",0,C8)</f>
        <v>0</v>
      </c>
      <c r="F8" s="5" t="s">
        <v>1074</v>
      </c>
    </row>
    <row r="9" customFormat="false" ht="15" hidden="false" customHeight="false" outlineLevel="0" collapsed="false">
      <c r="A9" s="5" t="s">
        <v>1075</v>
      </c>
      <c r="B9" s="5" t="s">
        <v>1076</v>
      </c>
      <c r="C9" s="30" t="n">
        <v>30</v>
      </c>
      <c r="D9" s="27"/>
      <c r="E9" s="9" t="n">
        <f aca="false">IF(UPPER(D9)="Y",0,C9)</f>
        <v>30</v>
      </c>
      <c r="F9" s="5" t="s">
        <v>1077</v>
      </c>
    </row>
    <row r="10" customFormat="false" ht="15" hidden="false" customHeight="false" outlineLevel="0" collapsed="false">
      <c r="A10" s="5" t="s">
        <v>1078</v>
      </c>
      <c r="B10" s="5" t="s">
        <v>1079</v>
      </c>
      <c r="C10" s="30" t="n">
        <v>8</v>
      </c>
      <c r="D10" s="27"/>
      <c r="E10" s="9" t="n">
        <f aca="false">IF(UPPER(D10)="Y",0,C10)</f>
        <v>8</v>
      </c>
      <c r="F10" s="5"/>
    </row>
    <row r="11" customFormat="false" ht="15" hidden="false" customHeight="false" outlineLevel="0" collapsed="false">
      <c r="A11" s="5" t="s">
        <v>1080</v>
      </c>
      <c r="B11" s="5" t="s">
        <v>1081</v>
      </c>
      <c r="C11" s="30" t="n">
        <v>0</v>
      </c>
      <c r="D11" s="27"/>
      <c r="E11" s="9" t="n">
        <f aca="false">IF(UPPER(D11)="Y",0,C11)</f>
        <v>0</v>
      </c>
      <c r="F11" s="5" t="s">
        <v>1060</v>
      </c>
    </row>
    <row r="12" customFormat="false" ht="15" hidden="false" customHeight="false" outlineLevel="0" collapsed="false">
      <c r="A12" s="5" t="s">
        <v>1082</v>
      </c>
      <c r="B12" s="5" t="s">
        <v>1083</v>
      </c>
      <c r="C12" s="30" t="n">
        <v>20</v>
      </c>
      <c r="D12" s="27"/>
      <c r="E12" s="9" t="n">
        <f aca="false">IF(UPPER(D12)="Y",0,C12)</f>
        <v>20</v>
      </c>
      <c r="F12" s="5"/>
    </row>
    <row r="13" customFormat="false" ht="15" hidden="false" customHeight="false" outlineLevel="0" collapsed="false">
      <c r="A13" s="5" t="s">
        <v>1084</v>
      </c>
      <c r="B13" s="5" t="s">
        <v>1085</v>
      </c>
      <c r="C13" s="30" t="n">
        <v>12</v>
      </c>
      <c r="D13" s="27" t="inlineStr">
        <is>
          <t>Y</t>
        </is>
      </c>
      <c r="E13" s="9" t="n">
        <f aca="false">IF(UPPER(D13)="Y",0,C13)</f>
        <v>12</v>
      </c>
      <c r="F13" s="5"/>
    </row>
    <row r="14" customFormat="false" ht="15" hidden="false" customHeight="false" outlineLevel="0" collapsed="false">
      <c r="A14" s="5" t="s">
        <v>1086</v>
      </c>
      <c r="B14" s="5" t="s">
        <v>1087</v>
      </c>
      <c r="C14" s="30" t="n">
        <v>18</v>
      </c>
      <c r="D14" s="27"/>
      <c r="E14" s="9" t="n">
        <f aca="false">IF(UPPER(D14)="Y",0,C14)</f>
        <v>18</v>
      </c>
      <c r="F14" s="5" t="s">
        <v>1088</v>
      </c>
    </row>
    <row r="15" customFormat="false" ht="15" hidden="false" customHeight="false" outlineLevel="0" collapsed="false">
      <c r="A15" s="5" t="s">
        <v>1089</v>
      </c>
      <c r="B15" s="5" t="s">
        <v>1090</v>
      </c>
      <c r="C15" s="30" t="n">
        <v>22</v>
      </c>
      <c r="D15" s="27"/>
      <c r="E15" s="9" t="n">
        <f aca="false">IF(UPPER(D15)="Y",0,C15)</f>
        <v>22</v>
      </c>
      <c r="F15" s="5" t="s">
        <v>1091</v>
      </c>
    </row>
    <row r="16" customFormat="false" ht="15" hidden="false" customHeight="false" outlineLevel="0" collapsed="false">
      <c r="A16" s="5" t="s">
        <v>1092</v>
      </c>
      <c r="B16" s="5" t="s">
        <v>1093</v>
      </c>
      <c r="C16" s="30" t="n">
        <v>0</v>
      </c>
      <c r="D16" s="27" t="inlineStr">
        <is>
          <t>Y</t>
        </is>
      </c>
      <c r="E16" s="9" t="n">
        <f aca="false">IF(UPPER(D16)="Y",0,C16)</f>
        <v>0</v>
      </c>
      <c r="F16" s="5" t="s">
        <v>1060</v>
      </c>
    </row>
    <row r="17" customFormat="false" ht="23.85" hidden="false" customHeight="false" outlineLevel="0" collapsed="false">
      <c r="A17" s="5" t="s">
        <v>1094</v>
      </c>
      <c r="B17" s="5" t="s">
        <v>1095</v>
      </c>
      <c r="C17" s="30" t="n">
        <v>15</v>
      </c>
      <c r="D17" s="27" t="inlineStr">
        <is>
          <t>Y</t>
        </is>
      </c>
      <c r="E17" s="9" t="n">
        <f aca="false">IF(UPPER(D17)="Y",0,C17)</f>
        <v>15</v>
      </c>
      <c r="F17" s="5"/>
    </row>
    <row r="18" customFormat="false" ht="15" hidden="false" customHeight="false" outlineLevel="0" collapsed="false">
      <c r="A18" s="5" t="s">
        <v>1096</v>
      </c>
      <c r="B18" s="5" t="s">
        <v>1097</v>
      </c>
      <c r="C18" s="30" t="n">
        <v>0</v>
      </c>
      <c r="D18" s="27"/>
      <c r="E18" s="9" t="n">
        <f aca="false">IF(UPPER(D18)="Y",0,C18)</f>
        <v>0</v>
      </c>
      <c r="F18" s="5" t="s">
        <v>1060</v>
      </c>
    </row>
    <row r="19" customFormat="false" ht="15" hidden="false" customHeight="false" outlineLevel="0" collapsed="false">
      <c r="A19" s="5" t="s">
        <v>1098</v>
      </c>
      <c r="B19" s="5" t="s">
        <v>1099</v>
      </c>
      <c r="C19" s="30" t="n">
        <v>8</v>
      </c>
      <c r="D19" s="27"/>
      <c r="E19" s="9" t="n">
        <f aca="false">IF(UPPER(D19)="Y",0,C19)</f>
        <v>8</v>
      </c>
      <c r="F19" s="5"/>
    </row>
    <row r="20" customFormat="false" ht="15" hidden="false" customHeight="false" outlineLevel="0" collapsed="false">
      <c r="A20" s="5" t="s">
        <v>1100</v>
      </c>
      <c r="B20" s="5" t="s">
        <v>1101</v>
      </c>
      <c r="C20" s="30" t="n">
        <v>5</v>
      </c>
      <c r="D20" s="27"/>
      <c r="E20" s="9" t="n">
        <f aca="false">IF(UPPER(D20)="Y",0,C20)</f>
        <v>5</v>
      </c>
      <c r="F20" s="5"/>
    </row>
    <row r="21" customFormat="false" ht="15" hidden="false" customHeight="false" outlineLevel="0" collapsed="false">
      <c r="A21" s="5" t="s">
        <v>1102</v>
      </c>
      <c r="B21" s="5" t="inlineStr">
        <is>
          <t xml:space="preserve">reading training photos off the P4's microSD</t>
        </is>
      </c>
      <c r="C21" s="30" t="n">
        <v>8</v>
      </c>
      <c r="D21" s="27"/>
      <c r="E21" s="9" t="n">
        <f aca="false">IF(UPPER(D21)="Y",0,C21)</f>
        <v>8</v>
      </c>
      <c r="F21" s="5"/>
    </row>
    <row r="23" customFormat="false" ht="15" hidden="false" customHeight="false" outlineLevel="0" collapsed="false">
      <c r="A23" s="8" t="s">
        <v>620</v>
      </c>
      <c r="C23" s="11" t="n">
        <f aca="false">SUM(C2:C21)</f>
        <v>184</v>
      </c>
      <c r="E23" s="11" t="n">
        <f aca="false">SUM(E2:E21)</f>
        <v>184</v>
      </c>
    </row>
    <row r="24" customFormat="false" ht="15" hidden="false" customHeight="true" outlineLevel="0" collapsed="false">
      <c r="A24" s="7" t="s">
        <v>1104</v>
      </c>
      <c r="B24" s="7"/>
      <c r="C24" s="7"/>
      <c r="D24" s="7"/>
      <c r="E24" s="7"/>
      <c r="F24" s="7"/>
    </row>
  </sheetData>
  <mergeCells count="1">
    <mergeCell ref="A24:F24"/>
  </mergeCells>
  <dataValidations count="1">
    <dataValidation allowBlank="true" errorStyle="stop" operator="between" showDropDown="false" showErrorMessage="false" showInputMessage="false" sqref="D2:D2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30" hidden="false" customHeight="true" outlineLevel="0" collapsed="false">
      <c r="A1" s="16" t="s">
        <v>624</v>
      </c>
      <c r="B1" s="16" t="s">
        <v>1105</v>
      </c>
      <c r="C1" s="16" t="s">
        <v>1106</v>
      </c>
      <c r="D1" s="16" t="s">
        <v>1107</v>
      </c>
    </row>
    <row r="2" customFormat="false" ht="23.85" hidden="false" customHeight="false" outlineLevel="0" collapsed="false">
      <c r="A2" s="5" t="s">
        <v>1108</v>
      </c>
      <c r="B2" s="5" t="s">
        <v>1109</v>
      </c>
      <c r="C2" s="5" t="s">
        <v>1110</v>
      </c>
      <c r="D2" s="5" t="s">
        <v>1111</v>
      </c>
    </row>
    <row r="3" customFormat="false" ht="23.85" hidden="false" customHeight="false" outlineLevel="0" collapsed="false">
      <c r="A3" s="5" t="s">
        <v>252</v>
      </c>
      <c r="B3" s="5" t="s">
        <v>1112</v>
      </c>
      <c r="C3" s="5" t="s">
        <v>1110</v>
      </c>
      <c r="D3" s="5" t="s">
        <v>1113</v>
      </c>
    </row>
    <row r="4" customFormat="false" ht="23.85" hidden="false" customHeight="false" outlineLevel="0" collapsed="false">
      <c r="A4" s="5" t="s">
        <v>1114</v>
      </c>
      <c r="B4" s="5" t="s">
        <v>1115</v>
      </c>
      <c r="C4" s="5" t="s">
        <v>1110</v>
      </c>
      <c r="D4" s="5" t="s">
        <v>1116</v>
      </c>
    </row>
    <row r="5" customFormat="false" ht="23.85" hidden="false" customHeight="false" outlineLevel="0" collapsed="false">
      <c r="A5" s="5" t="s">
        <v>1117</v>
      </c>
      <c r="B5" s="5" t="s">
        <v>1118</v>
      </c>
      <c r="C5" s="5" t="s">
        <v>1110</v>
      </c>
      <c r="D5" s="5" t="s">
        <v>1119</v>
      </c>
    </row>
    <row r="6" customFormat="false" ht="23.85" hidden="false" customHeight="false" outlineLevel="0" collapsed="false">
      <c r="A6" s="5" t="s">
        <v>1120</v>
      </c>
      <c r="B6" s="5" t="s">
        <v>1121</v>
      </c>
      <c r="C6" s="5" t="s">
        <v>1110</v>
      </c>
      <c r="D6" s="5" t="s">
        <v>1122</v>
      </c>
    </row>
    <row r="7" customFormat="false" ht="23.85" hidden="false" customHeight="false" outlineLevel="0" collapsed="false">
      <c r="A7" s="5" t="s">
        <v>1123</v>
      </c>
      <c r="B7" s="5" t="s">
        <v>1124</v>
      </c>
      <c r="C7" s="5" t="s">
        <v>1125</v>
      </c>
      <c r="D7" s="5" t="s">
        <v>1126</v>
      </c>
    </row>
    <row r="8" customFormat="false" ht="23.85" hidden="false" customHeight="false" outlineLevel="0" collapsed="false">
      <c r="A8" s="5" t="s">
        <v>1127</v>
      </c>
      <c r="B8" s="5" t="s">
        <v>1128</v>
      </c>
      <c r="C8" s="5" t="s">
        <v>1125</v>
      </c>
      <c r="D8" s="5" t="s">
        <v>1129</v>
      </c>
    </row>
    <row r="9" customFormat="false" ht="23.85" hidden="false" customHeight="false" outlineLevel="0" collapsed="false">
      <c r="A9" s="5" t="s">
        <v>1130</v>
      </c>
      <c r="B9" s="5" t="s">
        <v>1131</v>
      </c>
      <c r="C9" s="5" t="s">
        <v>1125</v>
      </c>
      <c r="D9" s="5" t="s">
        <v>1132</v>
      </c>
    </row>
    <row r="10" customFormat="false" ht="15" hidden="false" customHeight="false" outlineLevel="0" collapsed="false">
      <c r="A10" s="5" t="s">
        <v>1133</v>
      </c>
      <c r="B10" s="5" t="s">
        <v>1134</v>
      </c>
      <c r="C10" s="5" t="s">
        <v>1125</v>
      </c>
      <c r="D10" s="5" t="s">
        <v>1135</v>
      </c>
    </row>
    <row r="11" customFormat="false" ht="15" hidden="false" customHeight="false" outlineLevel="0" collapsed="false">
      <c r="A11" s="5" t="s">
        <v>1136</v>
      </c>
      <c r="B11" s="5" t="s">
        <v>1131</v>
      </c>
      <c r="C11" s="5" t="s">
        <v>1125</v>
      </c>
      <c r="D11" s="5" t="s">
        <v>1137</v>
      </c>
    </row>
    <row r="12" customFormat="false" ht="15" hidden="false" customHeight="false" outlineLevel="0" collapsed="false">
      <c r="A12" s="5" t="s">
        <v>1138</v>
      </c>
      <c r="B12" s="5" t="s">
        <v>1139</v>
      </c>
      <c r="C12" s="5" t="s">
        <v>1140</v>
      </c>
      <c r="D12" s="5" t="s">
        <v>1141</v>
      </c>
    </row>
    <row r="13" customFormat="false" ht="35.05" hidden="false" customHeight="false" outlineLevel="0" collapsed="false">
      <c r="A13" s="5" t="s">
        <v>1142</v>
      </c>
      <c r="B13" s="5" t="s">
        <v>1131</v>
      </c>
      <c r="C13" s="5" t="s">
        <v>1131</v>
      </c>
      <c r="D13" s="5" t="s">
        <v>1143</v>
      </c>
    </row>
    <row r="14" customFormat="false" ht="23.85" hidden="false" customHeight="false" outlineLevel="0" collapsed="false">
      <c r="A14" s="5" t="s">
        <v>1144</v>
      </c>
      <c r="B14" s="5" t="s">
        <v>1131</v>
      </c>
      <c r="C14" s="5" t="s">
        <v>1131</v>
      </c>
      <c r="D14" s="5" t="inlineStr">
        <is>
          <t xml:space="preserve">Small; standoffs on the floor beside the P4 board.</t>
        </is>
      </c>
    </row>
    <row r="15" customFormat="false" ht="15" hidden="false" customHeight="false" outlineLevel="0" collapsed="false">
      <c r="A15" s="5" t="s">
        <v>1146</v>
      </c>
      <c r="B15" s="5" t="s">
        <v>1131</v>
      </c>
      <c r="C15" s="5" t="s">
        <v>1131</v>
      </c>
      <c r="D15" s="5" t="s">
        <v>1147</v>
      </c>
    </row>
    <row r="16" customFormat="false" ht="15" hidden="false" customHeight="false" outlineLevel="0" collapsed="false">
      <c r="A16" s="5" t="s">
        <v>1148</v>
      </c>
      <c r="B16" s="5" t="s">
        <v>1131</v>
      </c>
      <c r="C16" s="5" t="s">
        <v>1131</v>
      </c>
      <c r="D16" s="5" t="s">
        <v>1149</v>
      </c>
    </row>
    <row r="17" customFormat="false" ht="15" hidden="false" customHeight="false" outlineLevel="0" collapsed="false">
      <c r="A17" s="5" t="s">
        <v>1150</v>
      </c>
      <c r="B17" s="5" t="s">
        <v>1131</v>
      </c>
      <c r="C17" s="5" t="s">
        <v>1131</v>
      </c>
      <c r="D17" s="5" t="s">
        <v>1151</v>
      </c>
    </row>
    <row r="18" customFormat="false" ht="15" hidden="false" customHeight="false" outlineLevel="0" collapsed="false">
      <c r="A18" s="5" t="s">
        <v>1152</v>
      </c>
      <c r="B18" s="5" t="s">
        <v>1131</v>
      </c>
      <c r="C18" s="5" t="s">
        <v>1131</v>
      </c>
      <c r="D1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5" min="4" style="0" width="50"/>
  </cols>
  <sheetData>
    <row r="1" customFormat="false" ht="30" hidden="false" customHeight="true" outlineLevel="0" collapsed="false">
      <c r="A1" s="16" t="s">
        <v>1153</v>
      </c>
      <c r="B1" s="16" t="s">
        <v>83</v>
      </c>
      <c r="C1" s="16" t="s">
        <v>1154</v>
      </c>
      <c r="D1" s="16" t="s">
        <v>1155</v>
      </c>
      <c r="E1" s="16" t="s">
        <v>1156</v>
      </c>
    </row>
    <row r="2" customFormat="false" ht="23.85" hidden="false" customHeight="false" outlineLevel="0" collapsed="false">
      <c r="A2" s="5" t="s">
        <v>1157</v>
      </c>
      <c r="B2" s="5" t="n">
        <v>1</v>
      </c>
      <c r="C2" s="5" t="s">
        <v>1158</v>
      </c>
      <c r="D2" s="5" t="s">
        <v>1159</v>
      </c>
      <c r="E2" s="5"/>
    </row>
    <row r="3" customFormat="false" ht="15" hidden="false" customHeight="false" outlineLevel="0" collapsed="false">
      <c r="A3" s="5" t="s">
        <v>1160</v>
      </c>
      <c r="B3" s="5" t="n">
        <v>1</v>
      </c>
      <c r="C3" s="5" t="s">
        <v>1158</v>
      </c>
      <c r="D3" s="5" t="s">
        <v>1161</v>
      </c>
      <c r="E3" s="5"/>
    </row>
    <row r="4" customFormat="false" ht="15" hidden="false" customHeight="false" outlineLevel="0" collapsed="false">
      <c r="A4" s="5" t="s">
        <v>1162</v>
      </c>
      <c r="B4" s="5" t="n">
        <v>1</v>
      </c>
      <c r="C4" s="5" t="s">
        <v>1158</v>
      </c>
      <c r="D4" s="5" t="s">
        <v>1161</v>
      </c>
      <c r="E4" s="5" t="s">
        <v>1163</v>
      </c>
    </row>
    <row r="5" customFormat="false" ht="15" hidden="false" customHeight="false" outlineLevel="0" collapsed="false">
      <c r="A5" s="5" t="s">
        <v>1164</v>
      </c>
      <c r="B5" s="5" t="n">
        <v>2</v>
      </c>
      <c r="C5" s="5" t="s">
        <v>1158</v>
      </c>
      <c r="D5" s="5" t="s">
        <v>1161</v>
      </c>
      <c r="E5" s="5" t="s">
        <v>1165</v>
      </c>
    </row>
    <row r="6" customFormat="false" ht="15" hidden="false" customHeight="false" outlineLevel="0" collapsed="false">
      <c r="A6" s="5" t="s">
        <v>1166</v>
      </c>
      <c r="B6" s="5" t="n">
        <v>2</v>
      </c>
      <c r="C6" s="5" t="s">
        <v>1158</v>
      </c>
      <c r="D6" s="5" t="s">
        <v>1167</v>
      </c>
      <c r="E6" s="5" t="s">
        <v>1168</v>
      </c>
    </row>
    <row r="7" customFormat="false" ht="15" hidden="false" customHeight="false" outlineLevel="0" collapsed="false">
      <c r="A7" s="5" t="s">
        <v>1169</v>
      </c>
      <c r="B7" s="5" t="n">
        <v>1</v>
      </c>
      <c r="C7" s="5" t="s">
        <v>1158</v>
      </c>
      <c r="D7" s="5" t="s">
        <v>1170</v>
      </c>
      <c r="E7" s="5"/>
    </row>
    <row r="8" customFormat="false" ht="35.05" hidden="false" customHeight="false" outlineLevel="0" collapsed="false">
      <c r="A8" s="5" t="s">
        <v>1171</v>
      </c>
      <c r="B8" s="5" t="n">
        <v>1</v>
      </c>
      <c r="C8" s="5" t="s">
        <v>1172</v>
      </c>
      <c r="D8" s="5" t="s">
        <v>1173</v>
      </c>
      <c r="E8" s="5" t="s">
        <v>1174</v>
      </c>
    </row>
    <row r="9" customFormat="false" ht="23.85" hidden="false" customHeight="false" outlineLevel="0" collapsed="false">
      <c r="A9" s="5" t="s">
        <v>1175</v>
      </c>
      <c r="B9" s="5" t="s">
        <v>137</v>
      </c>
      <c r="C9" s="5" t="s">
        <v>1176</v>
      </c>
      <c r="D9" s="5" t="s">
        <v>1177</v>
      </c>
      <c r="E9" s="5" t="s">
        <v>1178</v>
      </c>
    </row>
    <row r="10" customFormat="false" ht="23.85" hidden="false" customHeight="false" outlineLevel="0" collapsed="false">
      <c r="A10" s="5" t="s">
        <v>1179</v>
      </c>
      <c r="B10" s="5" t="n">
        <v>1</v>
      </c>
      <c r="C10" s="5" t="s">
        <v>1180</v>
      </c>
      <c r="D10" s="5" t="s">
        <v>1181</v>
      </c>
      <c r="E10" s="5" t="s">
        <v>1182</v>
      </c>
    </row>
    <row r="11" customFormat="false" ht="15" hidden="false" customHeight="false" outlineLevel="0" collapsed="false">
      <c r="A11" s="5" t="s">
        <v>1183</v>
      </c>
      <c r="B11" s="5" t="n">
        <v>1</v>
      </c>
      <c r="C11" s="5" t="s">
        <v>1184</v>
      </c>
      <c r="D11" s="5" t="s">
        <v>1185</v>
      </c>
      <c r="E11" s="5" t="s">
        <v>1186</v>
      </c>
    </row>
    <row r="12" customFormat="false" ht="15" hidden="false" customHeight="false" outlineLevel="0" collapsed="false">
      <c r="A12" s="5" t="s">
        <v>1187</v>
      </c>
      <c r="B12" s="5" t="s">
        <v>1188</v>
      </c>
      <c r="C12" s="5" t="s">
        <v>1158</v>
      </c>
      <c r="D12" s="5"/>
      <c r="E12" s="5" t="s">
        <v>1189</v>
      </c>
    </row>
    <row r="13" customFormat="false" ht="15" hidden="false" customHeight="false" outlineLevel="0" collapsed="false">
      <c r="A13" s="5" t="s">
        <v>1150</v>
      </c>
      <c r="B13" s="5" t="s">
        <v>1190</v>
      </c>
      <c r="C13" s="5" t="s">
        <v>1131</v>
      </c>
      <c r="D13" s="5" t="s">
        <v>1191</v>
      </c>
      <c r="E13" s="5" t="s">
        <v>1192</v>
      </c>
    </row>
    <row r="14" customFormat="false" ht="15" hidden="false" customHeight="false" outlineLevel="0" collapsed="false">
      <c r="A14" s="5" t="s">
        <v>1193</v>
      </c>
      <c r="B14" s="5" t="n">
        <v>1</v>
      </c>
      <c r="C14" s="5" t="s">
        <v>1184</v>
      </c>
      <c r="D14" s="5" t="s">
        <v>1194</v>
      </c>
      <c r="E14" s="5" t="s">
        <v>1195</v>
      </c>
    </row>
    <row r="15" customFormat="false" ht="15" hidden="false" customHeight="false" outlineLevel="0" collapsed="false">
      <c r="A15" s="5" t="inlineStr">
        <is>
          <t xml:space="preserve">ESP32-P4-NANO / OV5647 camera (was Pi Zero 2 WH / Camera 3 / Coral)</t>
        </is>
      </c>
      <c r="B15" s="5" t="s">
        <v>1197</v>
      </c>
      <c r="C15" s="5" t="inlineStr">
        <is>
          <t xml:space="preserve">no - the fit-check blocks are still the Pi + Coral</t>
        </is>
      </c>
      <c r="D15" s="5" t="s">
        <v>42</v>
      </c>
      <c r="E15" s="5" t="inlineStr">
        <is>
          <t xml:space="preserve">Replace the Pi + Coral blocks with the P4-NANO (50 x 50) and the OV5647 camera (25 x 24). No Coral; the camera uses its own 15-pin cable.</t>
        </is>
      </c>
    </row>
    <row r="16" customFormat="false" ht="23.85" hidden="false" customHeight="false" outlineLevel="0" collapsed="false">
      <c r="A16" s="5" t="s">
        <v>1200</v>
      </c>
      <c r="B16" s="5" t="n">
        <v>1</v>
      </c>
      <c r="C16" s="5" t="s">
        <v>414</v>
      </c>
      <c r="D16" s="5" t="s">
        <v>1201</v>
      </c>
      <c r="E16" s="5" t="s">
        <v>1202</v>
      </c>
    </row>
    <row r="17" customFormat="false" ht="15" hidden="false" customHeight="false" outlineLevel="0" collapsed="false">
      <c r="A17" s="5" t="s">
        <v>1203</v>
      </c>
      <c r="B17" s="5" t="s">
        <v>137</v>
      </c>
      <c r="C17" s="5" t="s">
        <v>1204</v>
      </c>
      <c r="D17" s="5" t="s">
        <v>1205</v>
      </c>
      <c r="E17" s="5" t="s">
        <v>1206</v>
      </c>
    </row>
    <row r="18" customFormat="false" ht="15" hidden="false" customHeight="false" outlineLevel="0" collapsed="false">
      <c r="A18" s="5" t="s">
        <v>1207</v>
      </c>
      <c r="B18" s="5" t="n">
        <v>3</v>
      </c>
      <c r="C18" s="5" t="s">
        <v>1208</v>
      </c>
      <c r="D18" s="5" t="s">
        <v>1209</v>
      </c>
      <c r="E18" s="5"/>
    </row>
    <row r="19" customFormat="false" ht="15" hidden="false" customHeight="false" outlineLevel="0" collapsed="false">
      <c r="A19" s="5" t="s">
        <v>1210</v>
      </c>
      <c r="B19" s="5" t="n">
        <v>1</v>
      </c>
      <c r="C19" s="5" t="s">
        <v>1184</v>
      </c>
      <c r="D19" s="5" t="s">
        <v>495</v>
      </c>
      <c r="E19" s="5"/>
    </row>
    <row r="20" customFormat="false" ht="15" hidden="false" customHeight="false" outlineLevel="0" collapsed="false">
      <c r="A20" s="5" t="s">
        <v>1211</v>
      </c>
      <c r="B20" s="5" t="n">
        <v>1</v>
      </c>
      <c r="C20" s="5" t="s">
        <v>1184</v>
      </c>
      <c r="D20" s="5" t="s">
        <v>1212</v>
      </c>
      <c r="E20" s="5" t="s">
        <v>1213</v>
      </c>
    </row>
    <row r="21" customFormat="false" ht="15" hidden="false" customHeight="false" outlineLevel="0" collapsed="false">
      <c r="A21" s="5" t="s">
        <v>1214</v>
      </c>
      <c r="B21" s="5" t="n">
        <v>2</v>
      </c>
      <c r="C21" s="5" t="s">
        <v>1184</v>
      </c>
      <c r="D21" s="5" t="s">
        <v>1215</v>
      </c>
      <c r="E21" s="5" t="s">
        <v>1216</v>
      </c>
    </row>
    <row r="22" customFormat="false" ht="15" hidden="false" customHeight="false" outlineLevel="0" collapsed="false">
      <c r="A22" s="5" t="s">
        <v>1217</v>
      </c>
      <c r="B22" s="5" t="n">
        <v>2</v>
      </c>
      <c r="C22" s="5" t="s">
        <v>1184</v>
      </c>
      <c r="D22" s="5" t="s">
        <v>1218</v>
      </c>
      <c r="E22" s="5" t="s">
        <v>1219</v>
      </c>
    </row>
    <row r="23" customFormat="false" ht="23.85" hidden="false" customHeight="false" outlineLevel="0" collapsed="false">
      <c r="A23" s="5" t="s">
        <v>1220</v>
      </c>
      <c r="B23" s="5" t="n">
        <v>2</v>
      </c>
      <c r="C23" s="5" t="s">
        <v>1221</v>
      </c>
      <c r="D23" s="5" t="s">
        <v>1222</v>
      </c>
      <c r="E23" s="5" t="s">
        <v>1223</v>
      </c>
    </row>
    <row r="24" customFormat="false" ht="15" hidden="false" customHeight="false" outlineLevel="0" collapsed="false">
      <c r="A24" s="5" t="s">
        <v>1224</v>
      </c>
      <c r="B24" s="5" t="n">
        <v>1</v>
      </c>
      <c r="C24" s="5" t="s">
        <v>1184</v>
      </c>
      <c r="D24" s="5" t="s">
        <v>1225</v>
      </c>
      <c r="E24" s="5" t="s">
        <v>1226</v>
      </c>
    </row>
    <row r="25" customFormat="false" ht="15" hidden="false" customHeight="false" outlineLevel="0" collapsed="false">
      <c r="A25" s="5" t="s">
        <v>25</v>
      </c>
      <c r="B25" s="5" t="n">
        <v>3</v>
      </c>
      <c r="C25" s="5" t="s">
        <v>1227</v>
      </c>
      <c r="D25" s="5" t="s">
        <v>1228</v>
      </c>
      <c r="E25" s="5" t="s">
        <v>1229</v>
      </c>
    </row>
    <row r="26" customFormat="false" ht="15" hidden="false" customHeight="false" outlineLevel="0" collapsed="false">
      <c r="A26" s="5" t="s">
        <v>1230</v>
      </c>
      <c r="B26" s="5" t="n">
        <v>1</v>
      </c>
      <c r="C26" s="5" t="s">
        <v>1208</v>
      </c>
      <c r="D26" s="5" t="s">
        <v>1231</v>
      </c>
      <c r="E26" s="5"/>
    </row>
    <row r="27" customFormat="false" ht="15" hidden="false" customHeight="false" outlineLevel="0" collapsed="false">
      <c r="A27" s="5" t="s">
        <v>1232</v>
      </c>
      <c r="B27" s="5" t="n">
        <v>3</v>
      </c>
      <c r="C27" s="5" t="s">
        <v>1208</v>
      </c>
      <c r="D27" s="5" t="s">
        <v>1233</v>
      </c>
      <c r="E27" s="5" t="s">
        <v>1234</v>
      </c>
    </row>
    <row r="28" customFormat="false" ht="23.85" hidden="false" customHeight="false" outlineLevel="0" collapsed="false">
      <c r="A28" s="5" t="s">
        <v>1235</v>
      </c>
      <c r="B28" s="5" t="n">
        <v>1</v>
      </c>
      <c r="C28" s="5" t="s">
        <v>1236</v>
      </c>
      <c r="D28" s="5" t="s">
        <v>290</v>
      </c>
      <c r="E28" s="5" t="s">
        <v>1237</v>
      </c>
    </row>
    <row r="29" customFormat="false" ht="23.85" hidden="false" customHeight="false" outlineLevel="0" collapsed="false">
      <c r="A29" s="5" t="s">
        <v>1238</v>
      </c>
      <c r="B29" s="5" t="s">
        <v>137</v>
      </c>
      <c r="C29" s="5" t="s">
        <v>1239</v>
      </c>
      <c r="D29" s="5" t="s">
        <v>1240</v>
      </c>
      <c r="E29" s="5" t="s">
        <v>1241</v>
      </c>
    </row>
    <row r="30" customFormat="false" ht="15" hidden="false" customHeight="false" outlineLevel="0" collapsed="false">
      <c r="A30" s="5" t="s">
        <v>1242</v>
      </c>
      <c r="B30" s="5" t="s">
        <v>1243</v>
      </c>
      <c r="C30" s="5" t="s">
        <v>1184</v>
      </c>
      <c r="D30" s="5" t="s">
        <v>1244</v>
      </c>
      <c r="E30" s="5" t="s">
        <v>1245</v>
      </c>
    </row>
    <row r="31" customFormat="false" ht="15" hidden="false" customHeight="false" outlineLevel="0" collapsed="false">
      <c r="A31" s="5" t="s">
        <v>1246</v>
      </c>
      <c r="B31" s="5" t="s">
        <v>137</v>
      </c>
      <c r="C31" s="5" t="s">
        <v>1247</v>
      </c>
      <c r="D31" s="5"/>
      <c r="E31" s="5" t="s">
        <v>1248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90"/>
  </cols>
  <sheetData>
    <row r="1" customFormat="false" ht="30" hidden="false" customHeight="true" outlineLevel="0" collapsed="false">
      <c r="A1" s="16" t="s">
        <v>1249</v>
      </c>
      <c r="B1" s="16" t="s">
        <v>1250</v>
      </c>
      <c r="C1" s="16" t="s">
        <v>1251</v>
      </c>
    </row>
    <row r="2" customFormat="false" ht="35.05" hidden="false" customHeight="false" outlineLevel="0" collapsed="false">
      <c r="A2" s="5" t="n">
        <v>1</v>
      </c>
      <c r="B2" s="5" t="s">
        <v>1252</v>
      </c>
      <c r="C2" s="5" t="s">
        <v>1253</v>
      </c>
    </row>
    <row r="3" customFormat="false" ht="15" hidden="false" customHeight="false" outlineLevel="0" collapsed="false">
      <c r="A3" s="5" t="n">
        <v>2</v>
      </c>
      <c r="B3" s="5" t="s">
        <v>1254</v>
      </c>
      <c r="C3" s="5" t="s">
        <v>1255</v>
      </c>
    </row>
    <row r="4" customFormat="false" ht="23.85" hidden="false" customHeight="false" outlineLevel="0" collapsed="false">
      <c r="A4" s="5" t="n">
        <v>3</v>
      </c>
      <c r="B4" s="5" t="s">
        <v>1256</v>
      </c>
      <c r="C4" s="5" t="s">
        <v>1257</v>
      </c>
    </row>
    <row r="5" customFormat="false" ht="15" hidden="false" customHeight="false" outlineLevel="0" collapsed="false">
      <c r="A5" s="5" t="n">
        <v>4</v>
      </c>
      <c r="B5" s="5" t="s">
        <v>1258</v>
      </c>
      <c r="C5" s="5" t="s">
        <v>1259</v>
      </c>
    </row>
    <row r="6" customFormat="false" ht="15" hidden="false" customHeight="false" outlineLevel="0" collapsed="false">
      <c r="A6" s="5" t="n">
        <v>5</v>
      </c>
      <c r="B6" s="5" t="s">
        <v>1260</v>
      </c>
      <c r="C6" s="5" t="s">
        <v>1261</v>
      </c>
    </row>
    <row r="7" customFormat="false" ht="15" hidden="false" customHeight="false" outlineLevel="0" collapsed="false">
      <c r="A7" s="5" t="n">
        <v>6</v>
      </c>
      <c r="B7" s="5" t="s">
        <v>1262</v>
      </c>
      <c r="C7" s="5" t="s">
        <v>1263</v>
      </c>
    </row>
    <row r="8" customFormat="false" ht="15" hidden="false" customHeight="false" outlineLevel="0" collapsed="false">
      <c r="A8" s="5" t="n">
        <v>7</v>
      </c>
      <c r="B8" s="5" t="s">
        <v>1264</v>
      </c>
      <c r="C8" s="5" t="s">
        <v>1265</v>
      </c>
    </row>
    <row r="9" customFormat="false" ht="15" hidden="false" customHeight="false" outlineLevel="0" collapsed="false">
      <c r="A9" s="5" t="n">
        <v>8</v>
      </c>
      <c r="B9" s="5" t="s">
        <v>1266</v>
      </c>
      <c r="C9" s="5" t="s">
        <v>1267</v>
      </c>
    </row>
    <row r="10" customFormat="false" ht="15" hidden="false" customHeight="false" outlineLevel="0" collapsed="false">
      <c r="A10" s="5" t="n">
        <v>9</v>
      </c>
      <c r="B10" s="5" t="s">
        <v>1268</v>
      </c>
      <c r="C10" s="5"/>
    </row>
    <row r="11" customFormat="false" ht="15" hidden="false" customHeight="false" outlineLevel="0" collapsed="false">
      <c r="A11" s="5" t="n">
        <v>10</v>
      </c>
      <c r="B11" s="5" t="s">
        <v>1269</v>
      </c>
      <c r="C11" s="5" t="s">
        <v>1270</v>
      </c>
    </row>
    <row r="12" customFormat="false" ht="23.85" hidden="false" customHeight="false" outlineLevel="0" collapsed="false">
      <c r="A12" s="5" t="n">
        <v>11</v>
      </c>
      <c r="B12" s="5" t="s">
        <v>1271</v>
      </c>
      <c r="C12" s="5" t="s">
        <v>1272</v>
      </c>
    </row>
    <row r="13" customFormat="false" ht="15" hidden="false" customHeight="false" outlineLevel="0" collapsed="false">
      <c r="A13" s="5" t="n">
        <v>12</v>
      </c>
      <c r="B13" s="5" t="s">
        <v>1273</v>
      </c>
      <c r="C13" s="5" t="s">
        <v>1274</v>
      </c>
    </row>
    <row r="14" customFormat="false" ht="15" hidden="false" customHeight="false" outlineLevel="0" collapsed="false">
      <c r="A14" s="5" t="n">
        <v>13</v>
      </c>
      <c r="B14" s="5" t="s">
        <v>1275</v>
      </c>
      <c r="C14" s="5" t="s">
        <v>1276</v>
      </c>
    </row>
    <row r="15" customFormat="false" ht="15" hidden="false" customHeight="false" outlineLevel="0" collapsed="false">
      <c r="A15" s="5" t="n">
        <v>14</v>
      </c>
      <c r="B15" s="5" t="s">
        <v>1277</v>
      </c>
      <c r="C15" s="5" t="s">
        <v>1278</v>
      </c>
    </row>
    <row r="16" customFormat="false" ht="15" hidden="false" customHeight="false" outlineLevel="0" collapsed="false">
      <c r="A16" s="5" t="n">
        <v>15</v>
      </c>
      <c r="B16" s="5" t="s">
        <v>1279</v>
      </c>
      <c r="C16" s="5" t="s">
        <v>1280</v>
      </c>
    </row>
    <row r="17" customFormat="false" ht="15" hidden="false" customHeight="false" outlineLevel="0" collapsed="false">
      <c r="A17" s="5" t="n">
        <v>16</v>
      </c>
      <c r="B17" s="5" t="s">
        <v>1281</v>
      </c>
      <c r="C17" s="5" t="s">
        <v>1282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2026-10-15T07:16:55Z</dcterms:created>
  <dc:creator>openpyxl</dc:creator>
  <dc:description/>
  <dc:language>en-US</dc:language>
  <cp:lastModifiedBy/>
  <dcterms:modified xsi:type="dcterms:W3CDTF">2026-10-15T07:16:55Z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